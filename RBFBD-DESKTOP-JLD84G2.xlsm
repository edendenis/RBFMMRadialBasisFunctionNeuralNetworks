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G:\Meu Drive\EDENSOFT\APLICATIVOS\RBFBD\"/>
    </mc:Choice>
  </mc:AlternateContent>
  <xr:revisionPtr revIDLastSave="0" documentId="10_ncr:100000_{E29D8464-155E-4A91-8F26-B1264F853065}" xr6:coauthVersionLast="31" xr6:coauthVersionMax="31" xr10:uidLastSave="{00000000-0000-0000-0000-000000000000}"/>
  <bookViews>
    <workbookView xWindow="360" yWindow="45" windowWidth="3585" windowHeight="4935" tabRatio="886" firstSheet="8" activeTab="10" xr2:uid="{00000000-000D-0000-FFFF-FFFF00000000}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Acerto'!$A$372:$W$782</definedName>
    <definedName name="_xlnm.Print_Titles" localSheetId="11">'Sem Outlayers'!$1:$1</definedName>
  </definedNames>
  <calcPr calcId="179017"/>
</workbook>
</file>

<file path=xl/calcChain.xml><?xml version="1.0" encoding="utf-8"?>
<calcChain xmlns="http://schemas.openxmlformats.org/spreadsheetml/2006/main">
  <c r="A14" i="12" l="1" a="1"/>
  <c r="A19" i="12" s="1"/>
  <c r="AA7" i="3"/>
  <c r="V7" i="3"/>
  <c r="Q7" i="3"/>
  <c r="L7" i="3"/>
  <c r="G7" i="3"/>
  <c r="AA6" i="3"/>
  <c r="V6" i="3"/>
  <c r="Q6" i="3"/>
  <c r="L6" i="3"/>
  <c r="G6" i="3"/>
  <c r="AA5" i="3"/>
  <c r="V5" i="3"/>
  <c r="Q5" i="3"/>
  <c r="L5" i="3"/>
  <c r="G5" i="3"/>
  <c r="AA4" i="3"/>
  <c r="V4" i="3"/>
  <c r="Q4" i="3"/>
  <c r="L4" i="3"/>
  <c r="G4" i="3"/>
  <c r="AA3" i="3"/>
  <c r="V3" i="3"/>
  <c r="Q3" i="3"/>
  <c r="L3" i="3"/>
  <c r="G3" i="3"/>
  <c r="B3" i="4" s="1"/>
  <c r="B5" i="4" s="1"/>
  <c r="A18" i="12" l="1"/>
  <c r="A16" i="12"/>
  <c r="A22" i="12"/>
  <c r="A14" i="12"/>
  <c r="A17" i="12"/>
  <c r="A23" i="12"/>
  <c r="A15" i="12"/>
  <c r="A21" i="12"/>
  <c r="A20" i="12"/>
  <c r="D10" i="5"/>
  <c r="F8" i="5"/>
  <c r="C7" i="5"/>
  <c r="E5" i="5"/>
  <c r="B4" i="5"/>
  <c r="D2" i="5"/>
  <c r="B11" i="5"/>
  <c r="B3" i="5"/>
  <c r="C4" i="5"/>
  <c r="C7" i="10"/>
  <c r="F11" i="5"/>
  <c r="C10" i="5"/>
  <c r="E8" i="5"/>
  <c r="B7" i="5"/>
  <c r="D5" i="5"/>
  <c r="F3" i="5"/>
  <c r="C2" i="5"/>
  <c r="C6" i="5"/>
  <c r="C6" i="10"/>
  <c r="E11" i="5"/>
  <c r="B10" i="5"/>
  <c r="D8" i="5"/>
  <c r="F6" i="5"/>
  <c r="C5" i="5"/>
  <c r="E3" i="5"/>
  <c r="B2" i="5"/>
  <c r="D9" i="5"/>
  <c r="D7" i="5"/>
  <c r="C5" i="10"/>
  <c r="D11" i="5"/>
  <c r="F9" i="5"/>
  <c r="C8" i="5"/>
  <c r="E6" i="5"/>
  <c r="B5" i="5"/>
  <c r="D3" i="5"/>
  <c r="C3" i="10"/>
  <c r="F7" i="5"/>
  <c r="C4" i="10"/>
  <c r="C11" i="5"/>
  <c r="E9" i="5"/>
  <c r="B8" i="5"/>
  <c r="D6" i="5"/>
  <c r="F4" i="5"/>
  <c r="C3" i="5"/>
  <c r="E4" i="5"/>
  <c r="E10" i="5"/>
  <c r="B9" i="5"/>
  <c r="F5" i="5"/>
  <c r="E2" i="5"/>
  <c r="F10" i="5"/>
  <c r="C9" i="5"/>
  <c r="E7" i="5"/>
  <c r="B6" i="5"/>
  <c r="D4" i="5"/>
  <c r="F2" i="5"/>
  <c r="B25" i="12" l="1"/>
  <c r="B7" i="11" s="1"/>
  <c r="A2" i="6" a="1"/>
  <c r="D2" i="6" l="1"/>
  <c r="B3" i="6"/>
  <c r="J3" i="6"/>
  <c r="H4" i="6"/>
  <c r="F5" i="6"/>
  <c r="D6" i="6"/>
  <c r="B7" i="6"/>
  <c r="J7" i="6"/>
  <c r="A2" i="6"/>
  <c r="E4" i="6"/>
  <c r="E2" i="6"/>
  <c r="C3" i="6"/>
  <c r="A4" i="6"/>
  <c r="I4" i="6"/>
  <c r="G5" i="6"/>
  <c r="E6" i="6"/>
  <c r="C7" i="6"/>
  <c r="I6" i="6"/>
  <c r="F2" i="6"/>
  <c r="D3" i="6"/>
  <c r="B4" i="6"/>
  <c r="J4" i="6"/>
  <c r="H5" i="6"/>
  <c r="F6" i="6"/>
  <c r="D7" i="6"/>
  <c r="G3" i="6"/>
  <c r="A6" i="6"/>
  <c r="G2" i="6"/>
  <c r="E3" i="6"/>
  <c r="C4" i="6"/>
  <c r="A5" i="6"/>
  <c r="I5" i="6"/>
  <c r="G6" i="6"/>
  <c r="E7" i="6"/>
  <c r="I2" i="6"/>
  <c r="C5" i="6"/>
  <c r="G7" i="6"/>
  <c r="H2" i="6"/>
  <c r="F3" i="6"/>
  <c r="D4" i="6"/>
  <c r="B5" i="6"/>
  <c r="J5" i="6"/>
  <c r="H6" i="6"/>
  <c r="F7" i="6"/>
  <c r="C2" i="6"/>
  <c r="A3" i="6"/>
  <c r="I3" i="6"/>
  <c r="G4" i="6"/>
  <c r="E5" i="6"/>
  <c r="C6" i="6"/>
  <c r="A7" i="6"/>
  <c r="I7" i="6"/>
  <c r="B2" i="6"/>
  <c r="J2" i="6"/>
  <c r="H3" i="6"/>
  <c r="F4" i="6"/>
  <c r="D5" i="6"/>
  <c r="B6" i="6"/>
  <c r="J6" i="6"/>
  <c r="H7" i="6"/>
  <c r="A2" i="7" l="1" a="1"/>
  <c r="A2" i="7" l="1"/>
  <c r="C3" i="7"/>
  <c r="E4" i="7"/>
  <c r="A6" i="7"/>
  <c r="C7" i="7"/>
  <c r="D5" i="7"/>
  <c r="B2" i="7"/>
  <c r="D3" i="7"/>
  <c r="F4" i="7"/>
  <c r="B6" i="7"/>
  <c r="D7" i="7"/>
  <c r="C2" i="7"/>
  <c r="E3" i="7"/>
  <c r="A5" i="7"/>
  <c r="C6" i="7"/>
  <c r="E7" i="7"/>
  <c r="B4" i="7"/>
  <c r="D2" i="7"/>
  <c r="F3" i="7"/>
  <c r="B5" i="7"/>
  <c r="D6" i="7"/>
  <c r="F7" i="7"/>
  <c r="F2" i="7"/>
  <c r="F6" i="7"/>
  <c r="E2" i="7"/>
  <c r="A4" i="7"/>
  <c r="C5" i="7"/>
  <c r="E6" i="7"/>
  <c r="B3" i="7"/>
  <c r="D4" i="7"/>
  <c r="F5" i="7"/>
  <c r="B7" i="7"/>
  <c r="A3" i="7"/>
  <c r="C4" i="7"/>
  <c r="E5" i="7"/>
  <c r="A7" i="7"/>
  <c r="A2" i="8" l="1" a="1"/>
  <c r="F2" i="8" l="1"/>
  <c r="B4" i="8"/>
  <c r="D5" i="8"/>
  <c r="F6" i="8"/>
  <c r="E3" i="8"/>
  <c r="E7" i="8"/>
  <c r="A3" i="8"/>
  <c r="C4" i="8"/>
  <c r="E5" i="8"/>
  <c r="A7" i="8"/>
  <c r="B3" i="8"/>
  <c r="D4" i="8"/>
  <c r="F5" i="8"/>
  <c r="B7" i="8"/>
  <c r="A2" i="8"/>
  <c r="A2" i="9" s="1" a="1"/>
  <c r="C3" i="8"/>
  <c r="E4" i="8"/>
  <c r="A6" i="8"/>
  <c r="C7" i="8"/>
  <c r="C2" i="8"/>
  <c r="A5" i="8"/>
  <c r="C6" i="8"/>
  <c r="B2" i="8"/>
  <c r="D3" i="8"/>
  <c r="F4" i="8"/>
  <c r="B6" i="8"/>
  <c r="D7" i="8"/>
  <c r="D2" i="8"/>
  <c r="F3" i="8"/>
  <c r="B5" i="8"/>
  <c r="D6" i="8"/>
  <c r="F7" i="8"/>
  <c r="E2" i="8"/>
  <c r="A4" i="8"/>
  <c r="C5" i="8"/>
  <c r="E6" i="8"/>
  <c r="C2" i="9" l="1"/>
  <c r="A3" i="9"/>
  <c r="I3" i="9"/>
  <c r="G4" i="9"/>
  <c r="E5" i="9"/>
  <c r="C6" i="9"/>
  <c r="A7" i="9"/>
  <c r="I7" i="9"/>
  <c r="D4" i="9"/>
  <c r="D2" i="9"/>
  <c r="B3" i="9"/>
  <c r="J3" i="9"/>
  <c r="H4" i="9"/>
  <c r="F5" i="9"/>
  <c r="D6" i="9"/>
  <c r="B7" i="9"/>
  <c r="J7" i="9"/>
  <c r="B5" i="9"/>
  <c r="E2" i="9"/>
  <c r="C3" i="9"/>
  <c r="A4" i="9"/>
  <c r="I4" i="9"/>
  <c r="G5" i="9"/>
  <c r="E6" i="9"/>
  <c r="C7" i="9"/>
  <c r="F3" i="9"/>
  <c r="F2" i="9"/>
  <c r="D3" i="9"/>
  <c r="B4" i="9"/>
  <c r="J4" i="9"/>
  <c r="H5" i="9"/>
  <c r="F6" i="9"/>
  <c r="D7" i="9"/>
  <c r="H2" i="9"/>
  <c r="J5" i="9"/>
  <c r="H6" i="9"/>
  <c r="F7" i="9"/>
  <c r="G2" i="9"/>
  <c r="E3" i="9"/>
  <c r="C4" i="9"/>
  <c r="A5" i="9"/>
  <c r="I5" i="9"/>
  <c r="G6" i="9"/>
  <c r="E7" i="9"/>
  <c r="A2" i="9"/>
  <c r="I2" i="9"/>
  <c r="G3" i="9"/>
  <c r="E4" i="9"/>
  <c r="C5" i="9"/>
  <c r="A6" i="9"/>
  <c r="I6" i="9"/>
  <c r="G7" i="9"/>
  <c r="B2" i="9"/>
  <c r="J2" i="9"/>
  <c r="H3" i="9"/>
  <c r="F4" i="9"/>
  <c r="D5" i="9"/>
  <c r="B6" i="9"/>
  <c r="J6" i="9"/>
  <c r="H7" i="9"/>
  <c r="B3" i="10" l="1" a="1"/>
  <c r="B4" i="10" l="1"/>
  <c r="B5" i="10"/>
  <c r="B6" i="10"/>
  <c r="B7" i="10"/>
  <c r="B8" i="10"/>
  <c r="B3" i="10"/>
  <c r="B6" i="11" s="1"/>
</calcChain>
</file>

<file path=xl/sharedStrings.xml><?xml version="1.0" encoding="utf-8"?>
<sst xmlns="http://schemas.openxmlformats.org/spreadsheetml/2006/main" count="86" uniqueCount="44">
  <si>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</si>
  <si>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</si>
  <si>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</si>
  <si>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</si>
  <si>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</si>
  <si>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</si>
  <si>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</si>
  <si>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</si>
  <si>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</si>
  <si>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</si>
  <si>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</si>
  <si>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</si>
  <si>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</si>
  <si>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</si>
  <si>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</si>
  <si>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</si>
  <si>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</si>
  <si>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</si>
  <si>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</si>
  <si>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</si>
  <si>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</si>
  <si>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</si>
  <si>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</si>
  <si>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</si>
  <si>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</si>
  <si>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Média</t>
  </si>
  <si>
    <t>R^2</t>
  </si>
  <si>
    <t>Números decimais</t>
  </si>
  <si>
    <t>Outlayers</t>
  </si>
  <si>
    <t>Outlayer</t>
  </si>
  <si>
    <t>-</t>
  </si>
  <si>
    <t>Gaussiana (G)</t>
  </si>
  <si>
    <t>Lixo</t>
  </si>
  <si>
    <t>Plástico
(% kg)</t>
  </si>
  <si>
    <t>Papel
(% kg)</t>
  </si>
  <si>
    <t>Alimento
(% kg)</t>
  </si>
  <si>
    <t>Água
(% kg)</t>
  </si>
  <si>
    <t>Outros
(% kg)</t>
  </si>
  <si>
    <t>Energia
(kcal/kg)</t>
  </si>
  <si>
    <t>C(5)</t>
  </si>
  <si>
    <t>VS(5)</t>
  </si>
  <si>
    <t>f(X) = -38937,83308 * EXP(-8,84330E-04 * ||X - (0,00000;0,00000;0,00000;0,00000;0,00000)|| ^ 2)
+6861,97139 * EXP(-8,84330E-04 * ||X - (32,63300;25,40381;27,33978;15,16162;15,68182)|| ^ 2)
+3590,43246 * EXP(-8,84330E-04 * ||X - (35,53908;3,58874;34,95039;37,20858;32,77959)|| ^ 2)
-565,47216 * EXP(-8,84330E-04 * ||X - (4,90482;20,38937;39,23001;36,20016;18,68852)|| ^ 2)
-2377,33908 * EXP(-8,84330E-04 * ||X - (43,40203;39,60073;5,36195;42,88138;18,28878)|| ^ 2)
-45,60866</t>
  </si>
  <si>
    <t>Energia
(kcal/kg) Experimental</t>
  </si>
  <si>
    <t>Energia
(kcal/kg) Teórica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</si>
</sst>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11">
    <xf numFmtId="0" fontId="0" fillId="0" borderId="0" xfId="0"/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165" fontId="1" fillId="2" borderId="1" xfId="1" applyNumberFormat="1" applyProtection="1">
      <protection hidden="1"/>
    </xf>
    <xf numFmtId="0" fontId="0" fillId="0" borderId="0" xfId="0"/>
    <xf numFmtId="0" fontId="0" fillId="0" borderId="0" xfId="0" applyAlignment="1">
      <alignment wrapText="1"/>
    </xf>
    <xf numFmtId="0" fontId="3" fillId="3" borderId="2" xfId="2" applyFont="1" applyAlignment="1" applyProtection="1">
      <alignment wrapText="1"/>
      <protection hidden="1"/>
    </xf>
    <xf numFmtId="0" fontId="0" fillId="0" borderId="0" xfId="0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zoomScale="130" zoomScaleNormal="13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11"/>
  <sheetViews>
    <sheetView workbookViewId="0">
      <selection sqref="A1:G11"/>
    </sheetView>
  </sheetViews>
  <sheetFormatPr defaultRowHeight="15" x14ac:dyDescent="0.25"/>
  <cols>
    <col min="1" max="1" width="15.140625" bestFit="1" customWidth="1"/>
    <col min="2" max="2" width="16.5703125" bestFit="1" customWidth="1"/>
    <col min="3" max="3" width="6.85546875" bestFit="1" customWidth="1"/>
    <col min="4" max="4" width="9.42578125" bestFit="1" customWidth="1"/>
    <col min="5" max="5" width="10" bestFit="1" customWidth="1"/>
    <col min="6" max="7" width="13.7109375" bestFit="1" customWidth="1"/>
    <col min="8" max="8" width="16.28515625" bestFit="1" customWidth="1"/>
    <col min="9" max="9" width="6.85546875" bestFit="1" customWidth="1"/>
    <col min="10" max="10" width="9.42578125" bestFit="1" customWidth="1"/>
    <col min="11" max="11" width="9.7109375" bestFit="1" customWidth="1"/>
    <col min="12" max="12" width="13.42578125" bestFit="1" customWidth="1"/>
    <col min="13" max="13" width="10.28515625" bestFit="1" customWidth="1"/>
    <col min="14" max="14" width="5.42578125" bestFit="1" customWidth="1"/>
    <col min="15" max="15" width="4.42578125" bestFit="1" customWidth="1"/>
    <col min="16" max="16" width="5.28515625" bestFit="1" customWidth="1"/>
  </cols>
  <sheetData>
    <row r="1" spans="1:7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</row>
    <row r="2" spans="1:7" x14ac:dyDescent="0.25">
      <c r="A2">
        <v>1</v>
      </c>
      <c r="B2">
        <v>19</v>
      </c>
      <c r="C2">
        <v>15</v>
      </c>
      <c r="D2">
        <v>45</v>
      </c>
      <c r="E2">
        <v>11</v>
      </c>
      <c r="F2">
        <v>10</v>
      </c>
      <c r="G2">
        <v>1080</v>
      </c>
    </row>
    <row r="3" spans="1:7" x14ac:dyDescent="0.25">
      <c r="A3">
        <v>2</v>
      </c>
      <c r="B3">
        <v>23</v>
      </c>
      <c r="C3">
        <v>24</v>
      </c>
      <c r="D3">
        <v>35</v>
      </c>
      <c r="E3">
        <v>13</v>
      </c>
      <c r="F3">
        <v>5</v>
      </c>
      <c r="G3">
        <v>1310</v>
      </c>
    </row>
    <row r="4" spans="1:7" x14ac:dyDescent="0.25">
      <c r="A4">
        <v>3</v>
      </c>
      <c r="B4">
        <v>20</v>
      </c>
      <c r="C4">
        <v>16</v>
      </c>
      <c r="D4">
        <v>43</v>
      </c>
      <c r="E4">
        <v>15</v>
      </c>
      <c r="F4">
        <v>6</v>
      </c>
      <c r="G4">
        <v>1100</v>
      </c>
    </row>
    <row r="5" spans="1:7" x14ac:dyDescent="0.25">
      <c r="A5">
        <v>4</v>
      </c>
      <c r="B5">
        <v>24</v>
      </c>
      <c r="C5">
        <v>24</v>
      </c>
      <c r="D5">
        <v>37</v>
      </c>
      <c r="E5">
        <v>12</v>
      </c>
      <c r="F5">
        <v>3</v>
      </c>
      <c r="G5">
        <v>1600</v>
      </c>
    </row>
    <row r="6" spans="1:7" x14ac:dyDescent="0.25">
      <c r="A6">
        <v>5</v>
      </c>
      <c r="B6">
        <v>19</v>
      </c>
      <c r="C6">
        <v>23</v>
      </c>
      <c r="D6">
        <v>43</v>
      </c>
      <c r="E6">
        <v>11</v>
      </c>
      <c r="F6">
        <v>4</v>
      </c>
      <c r="G6">
        <v>1210</v>
      </c>
    </row>
    <row r="7" spans="1:7" x14ac:dyDescent="0.25">
      <c r="A7">
        <v>6</v>
      </c>
      <c r="B7">
        <v>18</v>
      </c>
      <c r="C7">
        <v>22</v>
      </c>
      <c r="D7">
        <v>45</v>
      </c>
      <c r="E7">
        <v>5</v>
      </c>
      <c r="F7">
        <v>10</v>
      </c>
      <c r="G7">
        <v>1120</v>
      </c>
    </row>
    <row r="8" spans="1:7" x14ac:dyDescent="0.25">
      <c r="A8">
        <v>7</v>
      </c>
      <c r="B8">
        <v>22</v>
      </c>
      <c r="C8">
        <v>25</v>
      </c>
      <c r="D8">
        <v>38</v>
      </c>
      <c r="E8">
        <v>10</v>
      </c>
      <c r="F8">
        <v>5</v>
      </c>
      <c r="G8">
        <v>1309</v>
      </c>
    </row>
    <row r="9" spans="1:7" x14ac:dyDescent="0.25">
      <c r="A9">
        <v>8</v>
      </c>
      <c r="B9">
        <v>20</v>
      </c>
      <c r="C9">
        <v>22</v>
      </c>
      <c r="D9">
        <v>44</v>
      </c>
      <c r="E9">
        <v>10</v>
      </c>
      <c r="F9">
        <v>4</v>
      </c>
      <c r="G9">
        <v>1200</v>
      </c>
    </row>
    <row r="10" spans="1:7" x14ac:dyDescent="0.25">
      <c r="A10">
        <v>9</v>
      </c>
      <c r="B10">
        <v>19</v>
      </c>
      <c r="C10">
        <v>14</v>
      </c>
      <c r="D10">
        <v>43</v>
      </c>
      <c r="E10">
        <v>15</v>
      </c>
      <c r="F10">
        <v>9</v>
      </c>
      <c r="G10">
        <v>1000</v>
      </c>
    </row>
    <row r="11" spans="1:7" x14ac:dyDescent="0.25">
      <c r="A11">
        <v>10</v>
      </c>
      <c r="B11">
        <v>23</v>
      </c>
      <c r="C11">
        <v>24</v>
      </c>
      <c r="D11">
        <v>36</v>
      </c>
      <c r="E11">
        <v>11</v>
      </c>
      <c r="F11">
        <v>6</v>
      </c>
      <c r="G11">
        <v>1570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E7"/>
  <sheetViews>
    <sheetView topLeftCell="M1" zoomScale="70" zoomScaleNormal="70" workbookViewId="0">
      <selection activeCell="G3" sqref="G3:AE7"/>
    </sheetView>
  </sheetViews>
  <sheetFormatPr defaultRowHeight="15" x14ac:dyDescent="0.25"/>
  <sheetData>
    <row r="1" spans="1:31" x14ac:dyDescent="0.25">
      <c r="G1" s="10" t="s">
        <v>0</v>
      </c>
      <c r="H1" s="10"/>
      <c r="I1" s="10"/>
      <c r="J1" s="10"/>
      <c r="K1" s="10"/>
      <c r="L1" s="10" t="s">
        <v>1</v>
      </c>
      <c r="M1" s="10"/>
      <c r="N1" s="10"/>
      <c r="O1" s="10"/>
      <c r="P1" s="10"/>
      <c r="Q1" s="10" t="s">
        <v>21</v>
      </c>
      <c r="R1" s="10"/>
      <c r="S1" s="10"/>
      <c r="T1" s="10"/>
      <c r="U1" s="10"/>
      <c r="V1" s="10" t="s">
        <v>22</v>
      </c>
      <c r="W1" s="10"/>
      <c r="X1" s="10"/>
      <c r="Y1" s="10"/>
      <c r="Z1" s="10"/>
      <c r="AA1" s="10" t="s">
        <v>39</v>
      </c>
      <c r="AB1" s="10"/>
      <c r="AC1" s="10"/>
      <c r="AD1" s="10"/>
      <c r="AE1" s="10"/>
    </row>
    <row r="2" spans="1:31" x14ac:dyDescent="0.25">
      <c r="G2">
        <v>0</v>
      </c>
      <c r="H2">
        <v>0</v>
      </c>
      <c r="I2">
        <v>0</v>
      </c>
      <c r="J2">
        <v>0</v>
      </c>
      <c r="K2">
        <v>0</v>
      </c>
      <c r="L2">
        <v>32.63299548625946</v>
      </c>
      <c r="M2">
        <v>25.403808832168579</v>
      </c>
      <c r="N2">
        <v>27.339781880378723</v>
      </c>
      <c r="O2">
        <v>15.161623477935791</v>
      </c>
      <c r="P2">
        <v>15.681816458702087</v>
      </c>
      <c r="Q2">
        <v>35.539084196090698</v>
      </c>
      <c r="R2">
        <v>3.5887409448623657</v>
      </c>
      <c r="S2">
        <v>34.950390815734863</v>
      </c>
      <c r="T2">
        <v>37.208580851554871</v>
      </c>
      <c r="U2">
        <v>32.779591798782349</v>
      </c>
      <c r="V2">
        <v>4.9048157930374146</v>
      </c>
      <c r="W2">
        <v>20.389373302459717</v>
      </c>
      <c r="X2">
        <v>39.23001229763031</v>
      </c>
      <c r="Y2">
        <v>36.20016074180603</v>
      </c>
      <c r="Z2">
        <v>18.68851912021637</v>
      </c>
      <c r="AA2">
        <v>43.402032852172852</v>
      </c>
      <c r="AB2">
        <v>39.600725054740906</v>
      </c>
      <c r="AC2">
        <v>5.3619482517242432</v>
      </c>
      <c r="AD2">
        <v>42.881379246711731</v>
      </c>
      <c r="AE2">
        <v>18.288784503936768</v>
      </c>
    </row>
    <row r="3" spans="1:31" x14ac:dyDescent="0.25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 s="10">
        <f>SQRT(SUMXMY2('Coordenadas dos Polos'!$B$3:$F$3,'Coordenadas dos Polos'!$G$2:$K$2))</f>
        <v>0</v>
      </c>
      <c r="H3" s="10"/>
      <c r="I3" s="10"/>
      <c r="J3" s="10"/>
      <c r="K3" s="10"/>
      <c r="L3" s="10">
        <f>SQRT(SUMXMY2('Coordenadas dos Polos'!$B$3:$F$3,'Coordenadas dos Polos'!$L$2:$P$2))</f>
        <v>54.16201403922674</v>
      </c>
      <c r="M3" s="10"/>
      <c r="N3" s="10"/>
      <c r="O3" s="10"/>
      <c r="P3" s="10"/>
      <c r="Q3" s="10">
        <f>SQRT(SUMXMY2('Coordenadas dos Polos'!$B$3:$F$3,'Coordenadas dos Polos'!$Q$2:$U$2))</f>
        <v>70.401814697635842</v>
      </c>
      <c r="R3" s="10"/>
      <c r="S3" s="10"/>
      <c r="T3" s="10"/>
      <c r="U3" s="10"/>
      <c r="V3" s="10">
        <f>SQRT(SUMXMY2('Coordenadas dos Polos'!$B$3:$F$3,'Coordenadas dos Polos'!$V$2:$Z$2))</f>
        <v>60.319897307125771</v>
      </c>
      <c r="W3" s="10"/>
      <c r="X3" s="10"/>
      <c r="Y3" s="10"/>
      <c r="Z3" s="10"/>
      <c r="AA3" s="10">
        <f>SQRT(SUMXMY2('Coordenadas dos Polos'!$B$3:$F$3,'Coordenadas dos Polos'!$AA$2:$AE$2))</f>
        <v>75.193062807337498</v>
      </c>
      <c r="AB3" s="10"/>
      <c r="AC3" s="10"/>
      <c r="AD3" s="10"/>
      <c r="AE3" s="10"/>
    </row>
    <row r="4" spans="1:31" x14ac:dyDescent="0.25">
      <c r="A4" t="s">
        <v>1</v>
      </c>
      <c r="B4">
        <v>32.63299548625946</v>
      </c>
      <c r="C4">
        <v>25.403808832168579</v>
      </c>
      <c r="D4">
        <v>27.339781880378723</v>
      </c>
      <c r="E4">
        <v>15.161623477935791</v>
      </c>
      <c r="F4">
        <v>15.681816458702087</v>
      </c>
      <c r="G4" s="10">
        <f>SQRT(SUMXMY2('Coordenadas dos Polos'!$B$4:$F$4,'Coordenadas dos Polos'!$G$2:$K$2))</f>
        <v>54.16201403922674</v>
      </c>
      <c r="H4" s="10"/>
      <c r="I4" s="10"/>
      <c r="J4" s="10"/>
      <c r="K4" s="10"/>
      <c r="L4" s="10">
        <f>SQRT(SUMXMY2('Coordenadas dos Polos'!$B$4:$F$4,'Coordenadas dos Polos'!$L$2:$P$2))</f>
        <v>0</v>
      </c>
      <c r="M4" s="10"/>
      <c r="N4" s="10"/>
      <c r="O4" s="10"/>
      <c r="P4" s="10"/>
      <c r="Q4" s="10">
        <f>SQRT(SUMXMY2('Coordenadas dos Polos'!$B$4:$F$4,'Coordenadas dos Polos'!$Q$2:$U$2))</f>
        <v>36.340970789153985</v>
      </c>
      <c r="R4" s="10"/>
      <c r="S4" s="10"/>
      <c r="T4" s="10"/>
      <c r="U4" s="10"/>
      <c r="V4" s="10">
        <f>SQRT(SUMXMY2('Coordenadas dos Polos'!$B$4:$F$4,'Coordenadas dos Polos'!$V$2:$Z$2))</f>
        <v>37.242910778489993</v>
      </c>
      <c r="W4" s="10"/>
      <c r="X4" s="10"/>
      <c r="Y4" s="10"/>
      <c r="Z4" s="10"/>
      <c r="AA4" s="10">
        <f>SQRT(SUMXMY2('Coordenadas dos Polos'!$B$4:$F$4,'Coordenadas dos Polos'!$AA$2:$AE$2))</f>
        <v>39.695477189441284</v>
      </c>
      <c r="AB4" s="10"/>
      <c r="AC4" s="10"/>
      <c r="AD4" s="10"/>
      <c r="AE4" s="10"/>
    </row>
    <row r="5" spans="1:31" x14ac:dyDescent="0.25">
      <c r="A5" t="s">
        <v>21</v>
      </c>
      <c r="B5">
        <v>35.539084196090698</v>
      </c>
      <c r="C5">
        <v>3.5887409448623657</v>
      </c>
      <c r="D5">
        <v>34.950390815734863</v>
      </c>
      <c r="E5">
        <v>37.208580851554871</v>
      </c>
      <c r="F5">
        <v>32.779591798782349</v>
      </c>
      <c r="G5" s="10">
        <f>SQRT(SUMXMY2('Coordenadas dos Polos'!$B$5:$F$5,'Coordenadas dos Polos'!$G$2:$K$2))</f>
        <v>70.401814697635842</v>
      </c>
      <c r="H5" s="10"/>
      <c r="I5" s="10"/>
      <c r="J5" s="10"/>
      <c r="K5" s="10"/>
      <c r="L5" s="10">
        <f>SQRT(SUMXMY2('Coordenadas dos Polos'!$B$5:$F$5,'Coordenadas dos Polos'!$L$2:$P$2))</f>
        <v>36.340970789153985</v>
      </c>
      <c r="M5" s="10"/>
      <c r="N5" s="10"/>
      <c r="O5" s="10"/>
      <c r="P5" s="10"/>
      <c r="Q5" s="10">
        <f>SQRT(SUMXMY2('Coordenadas dos Polos'!$B$5:$F$5,'Coordenadas dos Polos'!$Q$2:$U$2))</f>
        <v>0</v>
      </c>
      <c r="R5" s="10"/>
      <c r="S5" s="10"/>
      <c r="T5" s="10"/>
      <c r="U5" s="10"/>
      <c r="V5" s="10">
        <f>SQRT(SUMXMY2('Coordenadas dos Polos'!$B$5:$F$5,'Coordenadas dos Polos'!$V$2:$Z$2))</f>
        <v>37.929013282500925</v>
      </c>
      <c r="W5" s="10"/>
      <c r="X5" s="10"/>
      <c r="Y5" s="10"/>
      <c r="Z5" s="10"/>
      <c r="AA5" s="10">
        <f>SQRT(SUMXMY2('Coordenadas dos Polos'!$B$5:$F$5,'Coordenadas dos Polos'!$AA$2:$AE$2))</f>
        <v>49.762727338345591</v>
      </c>
      <c r="AB5" s="10"/>
      <c r="AC5" s="10"/>
      <c r="AD5" s="10"/>
      <c r="AE5" s="10"/>
    </row>
    <row r="6" spans="1:31" x14ac:dyDescent="0.25">
      <c r="A6" t="s">
        <v>22</v>
      </c>
      <c r="B6">
        <v>4.9048157930374146</v>
      </c>
      <c r="C6">
        <v>20.389373302459717</v>
      </c>
      <c r="D6">
        <v>39.23001229763031</v>
      </c>
      <c r="E6">
        <v>36.20016074180603</v>
      </c>
      <c r="F6">
        <v>18.68851912021637</v>
      </c>
      <c r="G6" s="10">
        <f>SQRT(SUMXMY2('Coordenadas dos Polos'!$B$6:$F$6,'Coordenadas dos Polos'!$G$2:$K$2))</f>
        <v>60.319897307125771</v>
      </c>
      <c r="H6" s="10"/>
      <c r="I6" s="10"/>
      <c r="J6" s="10"/>
      <c r="K6" s="10"/>
      <c r="L6" s="10">
        <f>SQRT(SUMXMY2('Coordenadas dos Polos'!$B$6:$F$6,'Coordenadas dos Polos'!$L$2:$P$2))</f>
        <v>37.242910778489993</v>
      </c>
      <c r="M6" s="10"/>
      <c r="N6" s="10"/>
      <c r="O6" s="10"/>
      <c r="P6" s="10"/>
      <c r="Q6" s="10">
        <f>SQRT(SUMXMY2('Coordenadas dos Polos'!$B$6:$F$6,'Coordenadas dos Polos'!$Q$2:$U$2))</f>
        <v>37.929013282500925</v>
      </c>
      <c r="R6" s="10"/>
      <c r="S6" s="10"/>
      <c r="T6" s="10"/>
      <c r="U6" s="10"/>
      <c r="V6" s="10">
        <f>SQRT(SUMXMY2('Coordenadas dos Polos'!$B$6:$F$6,'Coordenadas dos Polos'!$V$2:$Z$2))</f>
        <v>0</v>
      </c>
      <c r="W6" s="10"/>
      <c r="X6" s="10"/>
      <c r="Y6" s="10"/>
      <c r="Z6" s="10"/>
      <c r="AA6" s="10">
        <f>SQRT(SUMXMY2('Coordenadas dos Polos'!$B$6:$F$6,'Coordenadas dos Polos'!$AA$2:$AE$2))</f>
        <v>55.162994735052301</v>
      </c>
      <c r="AB6" s="10"/>
      <c r="AC6" s="10"/>
      <c r="AD6" s="10"/>
      <c r="AE6" s="10"/>
    </row>
    <row r="7" spans="1:31" x14ac:dyDescent="0.25">
      <c r="A7" t="s">
        <v>39</v>
      </c>
      <c r="B7">
        <v>43.402032852172852</v>
      </c>
      <c r="C7">
        <v>39.600725054740906</v>
      </c>
      <c r="D7">
        <v>5.3619482517242432</v>
      </c>
      <c r="E7">
        <v>42.881379246711731</v>
      </c>
      <c r="F7">
        <v>18.288784503936768</v>
      </c>
      <c r="G7" s="10">
        <f>SQRT(SUMXMY2('Coordenadas dos Polos'!$B$7:$F$7,'Coordenadas dos Polos'!$G$2:$K$2))</f>
        <v>75.193062807337498</v>
      </c>
      <c r="H7" s="10"/>
      <c r="I7" s="10"/>
      <c r="J7" s="10"/>
      <c r="K7" s="10"/>
      <c r="L7" s="10">
        <f>SQRT(SUMXMY2('Coordenadas dos Polos'!$B$7:$F$7,'Coordenadas dos Polos'!$L$2:$P$2))</f>
        <v>39.695477189441284</v>
      </c>
      <c r="M7" s="10"/>
      <c r="N7" s="10"/>
      <c r="O7" s="10"/>
      <c r="P7" s="10"/>
      <c r="Q7" s="10">
        <f>SQRT(SUMXMY2('Coordenadas dos Polos'!$B$7:$F$7,'Coordenadas dos Polos'!$Q$2:$U$2))</f>
        <v>49.762727338345591</v>
      </c>
      <c r="R7" s="10"/>
      <c r="S7" s="10"/>
      <c r="T7" s="10"/>
      <c r="U7" s="10"/>
      <c r="V7" s="10">
        <f>SQRT(SUMXMY2('Coordenadas dos Polos'!$B$7:$F$7,'Coordenadas dos Polos'!$V$2:$Z$2))</f>
        <v>55.162994735052301</v>
      </c>
      <c r="W7" s="10"/>
      <c r="X7" s="10"/>
      <c r="Y7" s="10"/>
      <c r="Z7" s="10"/>
      <c r="AA7" s="10">
        <f>SQRT(SUMXMY2('Coordenadas dos Polos'!$B$7:$F$7,'Coordenadas dos Polos'!$AA$2:$AE$2))</f>
        <v>0</v>
      </c>
      <c r="AB7" s="10"/>
      <c r="AC7" s="10"/>
      <c r="AD7" s="10"/>
      <c r="AE7" s="10"/>
    </row>
  </sheetData>
  <mergeCells count="30">
    <mergeCell ref="V6:Z6"/>
    <mergeCell ref="AA6:AE6"/>
    <mergeCell ref="G7:K7"/>
    <mergeCell ref="L7:P7"/>
    <mergeCell ref="Q7:U7"/>
    <mergeCell ref="V7:Z7"/>
    <mergeCell ref="AA7:AE7"/>
    <mergeCell ref="V4:Z4"/>
    <mergeCell ref="AA4:AE4"/>
    <mergeCell ref="G5:K5"/>
    <mergeCell ref="L5:P5"/>
    <mergeCell ref="Q5:U5"/>
    <mergeCell ref="V5:Z5"/>
    <mergeCell ref="AA5:AE5"/>
    <mergeCell ref="V1:Z1"/>
    <mergeCell ref="AA1:AE1"/>
    <mergeCell ref="G3:K3"/>
    <mergeCell ref="L3:P3"/>
    <mergeCell ref="Q3:U3"/>
    <mergeCell ref="V3:Z3"/>
    <mergeCell ref="AA3:AE3"/>
    <mergeCell ref="G1:K1"/>
    <mergeCell ref="L1:P1"/>
    <mergeCell ref="Q1:U1"/>
    <mergeCell ref="G4:K4"/>
    <mergeCell ref="L4:P4"/>
    <mergeCell ref="Q4:U4"/>
    <mergeCell ref="G6:K6"/>
    <mergeCell ref="L6:P6"/>
    <mergeCell ref="Q6:U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B5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2</v>
      </c>
      <c r="B1">
        <v>5</v>
      </c>
    </row>
    <row r="3" spans="1:2" x14ac:dyDescent="0.25">
      <c r="A3" t="s">
        <v>3</v>
      </c>
      <c r="B3">
        <f>MAX('Coordenadas dos Polos'!$G$3:$AE$7)</f>
        <v>75.193062807337498</v>
      </c>
    </row>
    <row r="5" spans="1:2" x14ac:dyDescent="0.25">
      <c r="A5" t="s">
        <v>4</v>
      </c>
      <c r="B5">
        <f>('Cálculos Diversos'!$B$3/SQRT(2*'Cálculos Diversos'!$B$1))^2</f>
        <v>565.39966943482011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11"/>
  <sheetViews>
    <sheetView zoomScaleNormal="100" workbookViewId="0">
      <selection activeCell="B2" sqref="B2:G11"/>
    </sheetView>
  </sheetViews>
  <sheetFormatPr defaultRowHeight="15" x14ac:dyDescent="0.25"/>
  <cols>
    <col min="2" max="2" width="23.28515625" bestFit="1" customWidth="1"/>
    <col min="3" max="3" width="89.85546875" bestFit="1" customWidth="1"/>
  </cols>
  <sheetData>
    <row r="1" spans="1:7" x14ac:dyDescent="0.25">
      <c r="A1" t="s">
        <v>5</v>
      </c>
      <c r="B1" t="s">
        <v>6</v>
      </c>
    </row>
    <row r="2" spans="1:7" x14ac:dyDescent="0.25">
      <c r="A2">
        <v>1</v>
      </c>
      <c r="B2">
        <f>EXP(((-1)/(2*'Cálculos Diversos'!$B$5))*(SQRT(SUMXMY2('Tabela Entrada-Saída'!$B$2:$F$2,'Coordenadas dos Polos'!$G$2:$K$2)))^2)</f>
        <v>8.1722729200458824E-2</v>
      </c>
      <c r="C2">
        <f>EXP(((-1)/(2*'Cálculos Diversos'!$B$5))*(SQRT(SUMXMY2('Tabela Entrada-Saída'!$B$2:$F$2,'Coordenadas dos Polos'!$L$2:$P$2)))^2)</f>
        <v>0.56003719989444045</v>
      </c>
      <c r="D2">
        <f>EXP(((-1)/(2*'Cálculos Diversos'!$B$5))*(SQRT(SUMXMY2('Tabela Entrada-Saída'!$B$2:$F$2,'Coordenadas dos Polos'!$Q$2:$U$2)))^2)</f>
        <v>0.22031585749162519</v>
      </c>
      <c r="E2">
        <f>EXP(((-1)/(2*'Cálculos Diversos'!$B$5))*(SQRT(SUMXMY2('Tabela Entrada-Saída'!$B$2:$F$2,'Coordenadas dos Polos'!$V$2:$Z$2)))^2)</f>
        <v>0.42351273413796081</v>
      </c>
      <c r="F2">
        <f>EXP(((-1)/(2*'Cálculos Diversos'!$B$5))*(SQRT(SUMXMY2('Tabela Entrada-Saída'!$B$2:$F$2,'Coordenadas dos Polos'!$AA$2:$AE$2)))^2)</f>
        <v>3.3014020851430369E-2</v>
      </c>
      <c r="G2">
        <v>1</v>
      </c>
    </row>
    <row r="3" spans="1:7" x14ac:dyDescent="0.25">
      <c r="A3">
        <v>2</v>
      </c>
      <c r="B3">
        <f>EXP(((-1)/(2*'Cálculos Diversos'!$B$5))*(SQRT(SUMXMY2('Tabela Entrada-Saída'!$B$3:$F$3,'Coordenadas dos Polos'!$G$2:$K$2)))^2)</f>
        <v>0.10730828568545579</v>
      </c>
      <c r="C3">
        <f>EXP(((-1)/(2*'Cálculos Diversos'!$B$5))*(SQRT(SUMXMY2('Tabela Entrada-Saída'!$B$3:$F$3,'Coordenadas dos Polos'!$L$2:$P$2)))^2)</f>
        <v>0.78605333387385379</v>
      </c>
      <c r="D3">
        <f>EXP(((-1)/(2*'Cálculos Diversos'!$B$5))*(SQRT(SUMXMY2('Tabela Entrada-Saída'!$B$3:$F$3,'Coordenadas dos Polos'!$Q$2:$U$2)))^2)</f>
        <v>0.18119480621899919</v>
      </c>
      <c r="E3">
        <f>EXP(((-1)/(2*'Cálculos Diversos'!$B$5))*(SQRT(SUMXMY2('Tabela Entrada-Saída'!$B$3:$F$3,'Coordenadas dos Polos'!$V$2:$Z$2)))^2)</f>
        <v>0.38342792507992352</v>
      </c>
      <c r="F3">
        <f>EXP(((-1)/(2*'Cálculos Diversos'!$B$5))*(SQRT(SUMXMY2('Tabela Entrada-Saída'!$B$3:$F$3,'Coordenadas dos Polos'!$AA$2:$AE$2)))^2)</f>
        <v>9.966746262394903E-2</v>
      </c>
      <c r="G3">
        <v>1</v>
      </c>
    </row>
    <row r="4" spans="1:7" x14ac:dyDescent="0.25">
      <c r="A4">
        <v>3</v>
      </c>
      <c r="B4">
        <f>EXP(((-1)/(2*'Cálculos Diversos'!$B$5))*(SQRT(SUMXMY2('Tabela Entrada-Saída'!$B$4:$F$4,'Coordenadas dos Polos'!$G$2:$K$2)))^2)</f>
        <v>8.6634486106845085E-2</v>
      </c>
      <c r="C4">
        <f>EXP(((-1)/(2*'Cálculos Diversos'!$B$5))*(SQRT(SUMXMY2('Tabela Entrada-Saída'!$B$4:$F$4,'Coordenadas dos Polos'!$L$2:$P$2)))^2)</f>
        <v>0.59503881713388629</v>
      </c>
      <c r="D4">
        <f>EXP(((-1)/(2*'Cálculos Diversos'!$B$5))*(SQRT(SUMXMY2('Tabela Entrada-Saída'!$B$4:$F$4,'Coordenadas dos Polos'!$Q$2:$U$2)))^2)</f>
        <v>0.22822560292252578</v>
      </c>
      <c r="E4">
        <f>EXP(((-1)/(2*'Cálculos Diversos'!$B$5))*(SQRT(SUMXMY2('Tabela Entrada-Saída'!$B$4:$F$4,'Coordenadas dos Polos'!$V$2:$Z$2)))^2)</f>
        <v>0.46257358896735867</v>
      </c>
      <c r="F4">
        <f>EXP(((-1)/(2*'Cálculos Diversos'!$B$5))*(SQRT(SUMXMY2('Tabela Entrada-Saída'!$B$4:$F$4,'Coordenadas dos Polos'!$AA$2:$AE$2)))^2)</f>
        <v>4.7328785838222399E-2</v>
      </c>
      <c r="G4">
        <v>1</v>
      </c>
    </row>
    <row r="5" spans="1:7" x14ac:dyDescent="0.25">
      <c r="A5">
        <v>4</v>
      </c>
      <c r="B5">
        <f>EXP(((-1)/(2*'Cálculos Diversos'!$B$5))*(SQRT(SUMXMY2('Tabela Entrada-Saída'!$B$5:$F$5,'Coordenadas dos Polos'!$G$2:$K$2)))^2)</f>
        <v>9.3977588834858114E-2</v>
      </c>
      <c r="C5">
        <f>EXP(((-1)/(2*'Cálculos Diversos'!$B$5))*(SQRT(SUMXMY2('Tabela Entrada-Saída'!$B$5:$F$5,'Coordenadas dos Polos'!$L$2:$P$2)))^2)</f>
        <v>0.73989923102716437</v>
      </c>
      <c r="D5">
        <f>EXP(((-1)/(2*'Cálculos Diversos'!$B$5))*(SQRT(SUMXMY2('Tabela Entrada-Saída'!$B$5:$F$5,'Coordenadas dos Polos'!$Q$2:$U$2)))^2)</f>
        <v>0.1594370606932492</v>
      </c>
      <c r="E5">
        <f>EXP(((-1)/(2*'Cálculos Diversos'!$B$5))*(SQRT(SUMXMY2('Tabela Entrada-Saída'!$B$5:$F$5,'Coordenadas dos Polos'!$V$2:$Z$2)))^2)</f>
        <v>0.34165899456674498</v>
      </c>
      <c r="F5">
        <f>EXP(((-1)/(2*'Cálculos Diversos'!$B$5))*(SQRT(SUMXMY2('Tabela Entrada-Saída'!$B$5:$F$5,'Coordenadas dos Polos'!$AA$2:$AE$2)))^2)</f>
        <v>8.3461398747751298E-2</v>
      </c>
      <c r="G5">
        <v>1</v>
      </c>
    </row>
    <row r="6" spans="1:7" x14ac:dyDescent="0.25">
      <c r="A6">
        <v>5</v>
      </c>
      <c r="B6">
        <f>EXP(((-1)/(2*'Cálculos Diversos'!$B$5))*(SQRT(SUMXMY2('Tabela Entrada-Saída'!$B$6:$F$6,'Coordenadas dos Polos'!$G$2:$K$2)))^2)</f>
        <v>7.8603925251656034E-2</v>
      </c>
      <c r="C6">
        <f>EXP(((-1)/(2*'Cálculos Diversos'!$B$5))*(SQRT(SUMXMY2('Tabela Entrada-Saída'!$B$6:$F$6,'Coordenadas dos Polos'!$L$2:$P$2)))^2)</f>
        <v>0.59313020244935943</v>
      </c>
      <c r="D6">
        <f>EXP(((-1)/(2*'Cálculos Diversos'!$B$5))*(SQRT(SUMXMY2('Tabela Entrada-Saída'!$B$6:$F$6,'Coordenadas dos Polos'!$Q$2:$U$2)))^2)</f>
        <v>0.13913480429021496</v>
      </c>
      <c r="E6">
        <f>EXP(((-1)/(2*'Cálculos Diversos'!$B$5))*(SQRT(SUMXMY2('Tabela Entrada-Saída'!$B$6:$F$6,'Coordenadas dos Polos'!$V$2:$Z$2)))^2)</f>
        <v>0.38802783259826606</v>
      </c>
      <c r="F6">
        <f>EXP(((-1)/(2*'Cálculos Diversos'!$B$5))*(SQRT(SUMXMY2('Tabela Entrada-Saída'!$B$6:$F$6,'Coordenadas dos Polos'!$AA$2:$AE$2)))^2)</f>
        <v>4.493858878989003E-2</v>
      </c>
      <c r="G6">
        <v>1</v>
      </c>
    </row>
    <row r="7" spans="1:7" x14ac:dyDescent="0.25">
      <c r="A7">
        <v>6</v>
      </c>
      <c r="B7">
        <f>EXP(((-1)/(2*'Cálculos Diversos'!$B$5))*(SQRT(SUMXMY2('Tabela Entrada-Saída'!$B$7:$F$7,'Coordenadas dos Polos'!$G$2:$K$2)))^2)</f>
        <v>7.3105716279451283E-2</v>
      </c>
      <c r="C7">
        <f>EXP(((-1)/(2*'Cálculos Diversos'!$B$5))*(SQRT(SUMXMY2('Tabela Entrada-Saída'!$B$7:$F$7,'Coordenadas dos Polos'!$L$2:$P$2)))^2)</f>
        <v>0.55141147801511403</v>
      </c>
      <c r="D7">
        <f>EXP(((-1)/(2*'Cálculos Diversos'!$B$5))*(SQRT(SUMXMY2('Tabela Entrada-Saída'!$B$7:$F$7,'Coordenadas dos Polos'!$Q$2:$U$2)))^2)</f>
        <v>0.13036716901001819</v>
      </c>
      <c r="E7">
        <f>EXP(((-1)/(2*'Cálculos Diversos'!$B$5))*(SQRT(SUMXMY2('Tabela Entrada-Saída'!$B$7:$F$7,'Coordenadas dos Polos'!$V$2:$Z$2)))^2)</f>
        <v>0.32923158880959191</v>
      </c>
      <c r="F7">
        <f>EXP(((-1)/(2*'Cálculos Diversos'!$B$5))*(SQRT(SUMXMY2('Tabela Entrada-Saída'!$B$7:$F$7,'Coordenadas dos Polos'!$AA$2:$AE$2)))^2)</f>
        <v>2.8331360604034798E-2</v>
      </c>
      <c r="G7">
        <v>1</v>
      </c>
    </row>
    <row r="8" spans="1:7" x14ac:dyDescent="0.25">
      <c r="A8">
        <v>7</v>
      </c>
      <c r="B8">
        <f>EXP(((-1)/(2*'Cálculos Diversos'!$B$5))*(SQRT(SUMXMY2('Tabela Entrada-Saída'!$B$8:$F$8,'Coordenadas dos Polos'!$G$2:$K$2)))^2)</f>
        <v>9.3645747218109046E-2</v>
      </c>
      <c r="C8">
        <f>EXP(((-1)/(2*'Cálculos Diversos'!$B$5))*(SQRT(SUMXMY2('Tabela Entrada-Saída'!$B$8:$F$8,'Coordenadas dos Polos'!$L$2:$P$2)))^2)</f>
        <v>0.72246494369161918</v>
      </c>
      <c r="D8">
        <f>EXP(((-1)/(2*'Cálculos Diversos'!$B$5))*(SQRT(SUMXMY2('Tabela Entrada-Saída'!$B$8:$F$8,'Coordenadas dos Polos'!$Q$2:$U$2)))^2)</f>
        <v>0.14765739026424471</v>
      </c>
      <c r="E8">
        <f>EXP(((-1)/(2*'Cálculos Diversos'!$B$5))*(SQRT(SUMXMY2('Tabela Entrada-Saída'!$B$8:$F$8,'Coordenadas dos Polos'!$V$2:$Z$2)))^2)</f>
        <v>0.34947361739303096</v>
      </c>
      <c r="F8">
        <f>EXP(((-1)/(2*'Cálculos Diversos'!$B$5))*(SQRT(SUMXMY2('Tabela Entrada-Saída'!$B$8:$F$8,'Coordenadas dos Polos'!$AA$2:$AE$2)))^2)</f>
        <v>7.0799490468579224E-2</v>
      </c>
      <c r="G8">
        <v>1</v>
      </c>
    </row>
    <row r="9" spans="1:7" x14ac:dyDescent="0.25">
      <c r="A9">
        <v>8</v>
      </c>
      <c r="B9">
        <f>EXP(((-1)/(2*'Cálculos Diversos'!$B$5))*(SQRT(SUMXMY2('Tabela Entrada-Saída'!$B$9:$F$9,'Coordenadas dos Polos'!$G$2:$K$2)))^2)</f>
        <v>7.454193299765266E-2</v>
      </c>
      <c r="C9">
        <f>EXP(((-1)/(2*'Cálculos Diversos'!$B$5))*(SQRT(SUMXMY2('Tabela Entrada-Saída'!$B$9:$F$9,'Coordenadas dos Polos'!$L$2:$P$2)))^2)</f>
        <v>0.58212146654094632</v>
      </c>
      <c r="D9">
        <f>EXP(((-1)/(2*'Cálculos Diversos'!$B$5))*(SQRT(SUMXMY2('Tabela Entrada-Saída'!$B$9:$F$9,'Coordenadas dos Polos'!$Q$2:$U$2)))^2)</f>
        <v>0.13905906929071904</v>
      </c>
      <c r="E9">
        <f>EXP(((-1)/(2*'Cálculos Diversos'!$B$5))*(SQRT(SUMXMY2('Tabela Entrada-Saída'!$B$9:$F$9,'Coordenadas dos Polos'!$V$2:$Z$2)))^2)</f>
        <v>0.35995863200517358</v>
      </c>
      <c r="F9">
        <f>EXP(((-1)/(2*'Cálculos Diversos'!$B$5))*(SQRT(SUMXMY2('Tabela Entrada-Saída'!$B$9:$F$9,'Coordenadas dos Polos'!$AA$2:$AE$2)))^2)</f>
        <v>4.0149144939995281E-2</v>
      </c>
      <c r="G9">
        <v>1</v>
      </c>
    </row>
    <row r="10" spans="1:7" x14ac:dyDescent="0.25">
      <c r="A10">
        <v>9</v>
      </c>
      <c r="B10">
        <f>EXP(((-1)/(2*'Cálculos Diversos'!$B$5))*(SQRT(SUMXMY2('Tabela Entrada-Saída'!$B$10:$F$10,'Coordenadas dos Polos'!$G$2:$K$2)))^2)</f>
        <v>9.0871987900355666E-2</v>
      </c>
      <c r="C10">
        <f>EXP(((-1)/(2*'Cálculos Diversos'!$B$5))*(SQRT(SUMXMY2('Tabela Entrada-Saída'!$B$10:$F$10,'Coordenadas dos Polos'!$L$2:$P$2)))^2)</f>
        <v>0.58523284183297508</v>
      </c>
      <c r="D10">
        <f>EXP(((-1)/(2*'Cálculos Diversos'!$B$5))*(SQRT(SUMXMY2('Tabela Entrada-Saída'!$B$10:$F$10,'Coordenadas dos Polos'!$Q$2:$U$2)))^2)</f>
        <v>0.26413629931516519</v>
      </c>
      <c r="E10">
        <f>EXP(((-1)/(2*'Cálculos Diversos'!$B$5))*(SQRT(SUMXMY2('Tabela Entrada-Saída'!$B$10:$F$10,'Coordenadas dos Polos'!$V$2:$Z$2)))^2)</f>
        <v>0.49419081578437607</v>
      </c>
      <c r="F10">
        <f>EXP(((-1)/(2*'Cálculos Diversos'!$B$5))*(SQRT(SUMXMY2('Tabela Entrada-Saída'!$B$10:$F$10,'Coordenadas dos Polos'!$AA$2:$AE$2)))^2)</f>
        <v>4.403868900824448E-2</v>
      </c>
      <c r="G10">
        <v>1</v>
      </c>
    </row>
    <row r="11" spans="1:7" x14ac:dyDescent="0.25">
      <c r="A11">
        <v>10</v>
      </c>
      <c r="B11">
        <f>EXP(((-1)/(2*'Cálculos Diversos'!$B$5))*(SQRT(SUMXMY2('Tabela Entrada-Saída'!$B$11:$F$11,'Coordenadas dos Polos'!$G$2:$K$2)))^2)</f>
        <v>0.10412984602178443</v>
      </c>
      <c r="C11">
        <f>EXP(((-1)/(2*'Cálculos Diversos'!$B$5))*(SQRT(SUMXMY2('Tabela Entrada-Saída'!$B$11:$F$11,'Coordenadas dos Polos'!$L$2:$P$2)))^2)</f>
        <v>0.78009561024367702</v>
      </c>
      <c r="D11">
        <f>EXP(((-1)/(2*'Cálculos Diversos'!$B$5))*(SQRT(SUMXMY2('Tabela Entrada-Saída'!$B$11:$F$11,'Coordenadas dos Polos'!$Q$2:$U$2)))^2)</f>
        <v>0.17376054174816949</v>
      </c>
      <c r="E11">
        <f>EXP(((-1)/(2*'Cálculos Diversos'!$B$5))*(SQRT(SUMXMY2('Tabela Entrada-Saída'!$B$11:$F$11,'Coordenadas dos Polos'!$V$2:$Z$2)))^2)</f>
        <v>0.36266192645387924</v>
      </c>
      <c r="F11">
        <f>EXP(((-1)/(2*'Cálculos Diversos'!$B$5))*(SQRT(SUMXMY2('Tabela Entrada-Saída'!$B$11:$F$11,'Coordenadas dos Polos'!$AA$2:$AE$2)))^2)</f>
        <v>8.6653461598547726E-2</v>
      </c>
      <c r="G1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J7"/>
  <sheetViews>
    <sheetView workbookViewId="0">
      <selection activeCell="A2" sqref="A2:J7"/>
    </sheetView>
  </sheetViews>
  <sheetFormatPr defaultRowHeight="15" x14ac:dyDescent="0.25"/>
  <sheetData>
    <row r="1" spans="1:10" x14ac:dyDescent="0.25">
      <c r="A1" t="s">
        <v>7</v>
      </c>
    </row>
    <row r="2" spans="1:10" x14ac:dyDescent="0.25">
      <c r="A2">
        <f t="array" ref="A2:J7">TRANSPOSE('Matrix (R)'!$B$2:$G$11)</f>
        <v>8.1722729200458824E-2</v>
      </c>
      <c r="B2">
        <v>0.10730828568545579</v>
      </c>
      <c r="C2">
        <v>8.6634486106845085E-2</v>
      </c>
      <c r="D2">
        <v>9.3977588834858114E-2</v>
      </c>
      <c r="E2">
        <v>7.8603925251656034E-2</v>
      </c>
      <c r="F2">
        <v>7.3105716279451283E-2</v>
      </c>
      <c r="G2">
        <v>9.3645747218109046E-2</v>
      </c>
      <c r="H2">
        <v>7.454193299765266E-2</v>
      </c>
      <c r="I2">
        <v>9.0871987900355666E-2</v>
      </c>
      <c r="J2">
        <v>0.10412984602178443</v>
      </c>
    </row>
    <row r="3" spans="1:10" x14ac:dyDescent="0.25">
      <c r="A3">
        <v>0.56003719989444045</v>
      </c>
      <c r="B3">
        <v>0.78605333387385379</v>
      </c>
      <c r="C3">
        <v>0.59503881713388629</v>
      </c>
      <c r="D3">
        <v>0.73989923102716437</v>
      </c>
      <c r="E3">
        <v>0.59313020244935943</v>
      </c>
      <c r="F3">
        <v>0.55141147801511403</v>
      </c>
      <c r="G3">
        <v>0.72246494369161918</v>
      </c>
      <c r="H3">
        <v>0.58212146654094632</v>
      </c>
      <c r="I3">
        <v>0.58523284183297508</v>
      </c>
      <c r="J3">
        <v>0.78009561024367702</v>
      </c>
    </row>
    <row r="4" spans="1:10" x14ac:dyDescent="0.25">
      <c r="A4">
        <v>0.22031585749162519</v>
      </c>
      <c r="B4">
        <v>0.18119480621899919</v>
      </c>
      <c r="C4">
        <v>0.22822560292252578</v>
      </c>
      <c r="D4">
        <v>0.1594370606932492</v>
      </c>
      <c r="E4">
        <v>0.13913480429021496</v>
      </c>
      <c r="F4">
        <v>0.13036716901001819</v>
      </c>
      <c r="G4">
        <v>0.14765739026424471</v>
      </c>
      <c r="H4">
        <v>0.13905906929071904</v>
      </c>
      <c r="I4">
        <v>0.26413629931516519</v>
      </c>
      <c r="J4">
        <v>0.17376054174816949</v>
      </c>
    </row>
    <row r="5" spans="1:10" x14ac:dyDescent="0.25">
      <c r="A5">
        <v>0.42351273413796081</v>
      </c>
      <c r="B5">
        <v>0.38342792507992352</v>
      </c>
      <c r="C5">
        <v>0.46257358896735867</v>
      </c>
      <c r="D5">
        <v>0.34165899456674498</v>
      </c>
      <c r="E5">
        <v>0.38802783259826606</v>
      </c>
      <c r="F5">
        <v>0.32923158880959191</v>
      </c>
      <c r="G5">
        <v>0.34947361739303096</v>
      </c>
      <c r="H5">
        <v>0.35995863200517358</v>
      </c>
      <c r="I5">
        <v>0.49419081578437607</v>
      </c>
      <c r="J5">
        <v>0.36266192645387924</v>
      </c>
    </row>
    <row r="6" spans="1:10" x14ac:dyDescent="0.25">
      <c r="A6">
        <v>3.3014020851430369E-2</v>
      </c>
      <c r="B6">
        <v>9.966746262394903E-2</v>
      </c>
      <c r="C6">
        <v>4.7328785838222399E-2</v>
      </c>
      <c r="D6">
        <v>8.3461398747751298E-2</v>
      </c>
      <c r="E6">
        <v>4.493858878989003E-2</v>
      </c>
      <c r="F6">
        <v>2.8331360604034798E-2</v>
      </c>
      <c r="G6">
        <v>7.0799490468579224E-2</v>
      </c>
      <c r="H6">
        <v>4.0149144939995281E-2</v>
      </c>
      <c r="I6">
        <v>4.403868900824448E-2</v>
      </c>
      <c r="J6">
        <v>8.6653461598547726E-2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F7"/>
  <sheetViews>
    <sheetView workbookViewId="0">
      <selection activeCell="A2" sqref="A2:F7"/>
    </sheetView>
  </sheetViews>
  <sheetFormatPr defaultRowHeight="15" x14ac:dyDescent="0.25"/>
  <sheetData>
    <row r="1" spans="1:6" x14ac:dyDescent="0.25">
      <c r="A1" t="s">
        <v>8</v>
      </c>
    </row>
    <row r="2" spans="1:6" x14ac:dyDescent="0.25">
      <c r="A2">
        <f t="array" ref="A2:F7">MMULT('Matrix (R)^t'!$A$2:$J$7,'Matrix (R)'!$B$2:$G$11)</f>
        <v>7.9480785613180699E-2</v>
      </c>
      <c r="B2">
        <v>0.58359706150121182</v>
      </c>
      <c r="C2">
        <v>0.15896083009911105</v>
      </c>
      <c r="D2">
        <v>0.34473870801460749</v>
      </c>
      <c r="E2">
        <v>5.3588441265031171E-2</v>
      </c>
      <c r="F2">
        <v>0.88454224549662697</v>
      </c>
    </row>
    <row r="3" spans="1:6" x14ac:dyDescent="0.25">
      <c r="A3">
        <v>0.58359706150121182</v>
      </c>
      <c r="B3">
        <v>4.3007692670273912</v>
      </c>
      <c r="C3">
        <v>1.1517529472477563</v>
      </c>
      <c r="D3">
        <v>2.5124630134523098</v>
      </c>
      <c r="E3">
        <v>0.39691788340820428</v>
      </c>
      <c r="F3">
        <v>6.4954851247030367</v>
      </c>
    </row>
    <row r="4" spans="1:6" x14ac:dyDescent="0.25">
      <c r="A4">
        <v>0.15896083009911105</v>
      </c>
      <c r="B4">
        <v>1.1517529472477563</v>
      </c>
      <c r="C4">
        <v>0.33633266967160347</v>
      </c>
      <c r="D4">
        <v>0.71494306929392326</v>
      </c>
      <c r="E4">
        <v>0.10211356019918254</v>
      </c>
      <c r="F4">
        <v>1.7832886012449309</v>
      </c>
    </row>
    <row r="5" spans="1:6" x14ac:dyDescent="0.25">
      <c r="A5">
        <v>0.34473870801460749</v>
      </c>
      <c r="B5">
        <v>2.5124630134523098</v>
      </c>
      <c r="C5">
        <v>0.71494306929392326</v>
      </c>
      <c r="D5">
        <v>1.5434945027412774</v>
      </c>
      <c r="E5">
        <v>0.22175454490517438</v>
      </c>
      <c r="F5">
        <v>3.8947176557963061</v>
      </c>
    </row>
    <row r="6" spans="1:6" x14ac:dyDescent="0.25">
      <c r="A6">
        <v>5.3588441265031171E-2</v>
      </c>
      <c r="B6">
        <v>0.39691788340820428</v>
      </c>
      <c r="C6">
        <v>0.10211356019918254</v>
      </c>
      <c r="D6">
        <v>0.22175454490517438</v>
      </c>
      <c r="E6">
        <v>3.912424071122815E-2</v>
      </c>
      <c r="F6">
        <v>0.57838240347064462</v>
      </c>
    </row>
    <row r="7" spans="1:6" x14ac:dyDescent="0.25">
      <c r="A7">
        <v>0.88454224549662697</v>
      </c>
      <c r="B7">
        <v>6.4954851247030367</v>
      </c>
      <c r="C7">
        <v>1.7832886012449309</v>
      </c>
      <c r="D7">
        <v>3.8947176557963061</v>
      </c>
      <c r="E7">
        <v>0.57838240347064462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F7"/>
  <sheetViews>
    <sheetView workbookViewId="0">
      <selection activeCell="A2" sqref="A2:F7"/>
    </sheetView>
  </sheetViews>
  <sheetFormatPr defaultRowHeight="15" x14ac:dyDescent="0.25"/>
  <sheetData>
    <row r="1" spans="1:6" x14ac:dyDescent="0.25">
      <c r="A1" t="s">
        <v>9</v>
      </c>
    </row>
    <row r="2" spans="1:6" x14ac:dyDescent="0.25">
      <c r="A2">
        <f t="array" ref="A2:F7">MINVERSE('Matrix (R)^t.(R)'!$A$2:$F$7)</f>
        <v>47291.981694436545</v>
      </c>
      <c r="B2">
        <v>-6674.1717841975787</v>
      </c>
      <c r="C2">
        <v>-3563.2044301592446</v>
      </c>
      <c r="D2">
        <v>-1628.3948717835649</v>
      </c>
      <c r="E2">
        <v>3083.3476523873705</v>
      </c>
      <c r="F2">
        <v>1243.3233938014519</v>
      </c>
    </row>
    <row r="3" spans="1:6" x14ac:dyDescent="0.25">
      <c r="A3">
        <v>-6674.1717841984546</v>
      </c>
      <c r="B3">
        <v>1756.5350904620868</v>
      </c>
      <c r="C3">
        <v>246.71215105789568</v>
      </c>
      <c r="D3">
        <v>577.27723570750925</v>
      </c>
      <c r="E3">
        <v>-3316.0098791759369</v>
      </c>
      <c r="F3">
        <v>-627.63296994095685</v>
      </c>
    </row>
    <row r="4" spans="1:6" x14ac:dyDescent="0.25">
      <c r="A4">
        <v>-3563.2044301598216</v>
      </c>
      <c r="B4">
        <v>246.71215105801622</v>
      </c>
      <c r="C4">
        <v>814.37089860437084</v>
      </c>
      <c r="D4">
        <v>-362.9147231144081</v>
      </c>
      <c r="E4">
        <v>525.1014106045468</v>
      </c>
      <c r="F4">
        <v>120.67723636003217</v>
      </c>
    </row>
    <row r="5" spans="1:6" x14ac:dyDescent="0.25">
      <c r="A5">
        <v>-1628.394871783194</v>
      </c>
      <c r="B5">
        <v>577.27723570733963</v>
      </c>
      <c r="C5">
        <v>-362.91472311447313</v>
      </c>
      <c r="D5">
        <v>549.55555636848385</v>
      </c>
      <c r="E5">
        <v>-1189.5895323375994</v>
      </c>
      <c r="F5">
        <v>-311.44560273427703</v>
      </c>
    </row>
    <row r="6" spans="1:6" x14ac:dyDescent="0.25">
      <c r="A6">
        <v>3083.3476523907098</v>
      </c>
      <c r="B6">
        <v>-3316.0098791763821</v>
      </c>
      <c r="C6">
        <v>525.10141060471653</v>
      </c>
      <c r="D6">
        <v>-1189.5895323380616</v>
      </c>
      <c r="E6">
        <v>10628.289536618144</v>
      </c>
      <c r="F6">
        <v>1636.1233935213463</v>
      </c>
    </row>
    <row r="7" spans="1:6" x14ac:dyDescent="0.25">
      <c r="A7">
        <v>1243.3233938017822</v>
      </c>
      <c r="B7">
        <v>-627.63296994096345</v>
      </c>
      <c r="C7">
        <v>120.67723636007563</v>
      </c>
      <c r="D7">
        <v>-311.44560273433933</v>
      </c>
      <c r="E7">
        <v>1636.1233935212022</v>
      </c>
      <c r="F7">
        <v>302.94939204323515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J7"/>
  <sheetViews>
    <sheetView workbookViewId="0">
      <selection activeCell="A2" sqref="A2:J7"/>
    </sheetView>
  </sheetViews>
  <sheetFormatPr defaultRowHeight="15" x14ac:dyDescent="0.25"/>
  <sheetData>
    <row r="1" spans="1:10" x14ac:dyDescent="0.25">
      <c r="A1" t="s">
        <v>10</v>
      </c>
    </row>
    <row r="2" spans="1:10" x14ac:dyDescent="0.25">
      <c r="A2">
        <f t="array" ref="A2:J7">MMULT('Matrix ((R)^t.(R))^(-1)'!$A$2:$F$7,'Matrix (R)^t'!$A$2:$J$7)</f>
        <v>-2.5139706332060996</v>
      </c>
      <c r="B2">
        <v>109.19312804489573</v>
      </c>
      <c r="C2">
        <v>-51.487197745645744</v>
      </c>
      <c r="D2">
        <v>-117.62685395526478</v>
      </c>
      <c r="E2">
        <v>12.938934869082232</v>
      </c>
      <c r="F2">
        <v>107.13419099365638</v>
      </c>
      <c r="G2">
        <v>-26.75385605165684</v>
      </c>
      <c r="H2">
        <v>-74.476452734810664</v>
      </c>
      <c r="I2">
        <v>24.772428351033795</v>
      </c>
      <c r="J2">
        <v>18.819648861965106</v>
      </c>
    </row>
    <row r="3" spans="1:10" x14ac:dyDescent="0.25">
      <c r="A3">
        <v>2.4530549716132555E-2</v>
      </c>
      <c r="B3">
        <v>-27.547756156799437</v>
      </c>
      <c r="C3">
        <v>5.7566605938611701</v>
      </c>
      <c r="D3">
        <v>4.6116183782498865</v>
      </c>
      <c r="E3">
        <v>-1.0859791177614397</v>
      </c>
      <c r="F3">
        <v>-18.705473843869868</v>
      </c>
      <c r="G3">
        <v>19.794477827412038</v>
      </c>
      <c r="H3">
        <v>6.3466718972563285</v>
      </c>
      <c r="I3">
        <v>-1.7281899818003694</v>
      </c>
      <c r="J3">
        <v>12.53343985372851</v>
      </c>
    </row>
    <row r="4" spans="1:10" x14ac:dyDescent="0.25">
      <c r="A4">
        <v>10.705953002628846</v>
      </c>
      <c r="B4">
        <v>-7.0115506273859012</v>
      </c>
      <c r="C4">
        <v>1.6220937798866117</v>
      </c>
      <c r="D4">
        <v>18.031527529147795</v>
      </c>
      <c r="E4">
        <v>-16.988551687831034</v>
      </c>
      <c r="F4">
        <v>-2.2123887983554056</v>
      </c>
      <c r="G4">
        <v>-4.1651518527719276</v>
      </c>
      <c r="H4">
        <v>2.3792742506130509</v>
      </c>
      <c r="I4">
        <v>0.14638984512215814</v>
      </c>
      <c r="J4">
        <v>-2.5075954410608006</v>
      </c>
    </row>
    <row r="5" spans="1:10" x14ac:dyDescent="0.25">
      <c r="A5">
        <v>-7.7109750303023361</v>
      </c>
      <c r="B5">
        <v>-6.0218556334190225</v>
      </c>
      <c r="C5">
        <v>6.0632342060427504</v>
      </c>
      <c r="D5">
        <v>-6.7375078589928421</v>
      </c>
      <c r="E5">
        <v>12.247039801348024</v>
      </c>
      <c r="F5">
        <v>-12.25708854950409</v>
      </c>
      <c r="G5">
        <v>7.3705029039277861</v>
      </c>
      <c r="H5">
        <v>2.8058469903193668</v>
      </c>
      <c r="I5">
        <v>1.7589086865843342</v>
      </c>
      <c r="J5">
        <v>2.48189448399512</v>
      </c>
    </row>
    <row r="6" spans="1:10" x14ac:dyDescent="0.25">
      <c r="A6">
        <v>-6.2214842256998963</v>
      </c>
      <c r="B6">
        <v>58.74997599250014</v>
      </c>
      <c r="C6">
        <v>2.6859627298983924</v>
      </c>
      <c r="D6">
        <v>36.714384680748481</v>
      </c>
      <c r="E6">
        <v>0.74737806302528043</v>
      </c>
      <c r="F6">
        <v>10.967259645368358</v>
      </c>
      <c r="G6">
        <v>-56.552671697345204</v>
      </c>
      <c r="H6">
        <v>7.1753835076724499</v>
      </c>
      <c r="I6">
        <v>-5.4545015343221621</v>
      </c>
      <c r="J6">
        <v>-48.811687161840382</v>
      </c>
    </row>
    <row r="7" spans="1:10" x14ac:dyDescent="0.25">
      <c r="A7">
        <v>1.7603039046712752</v>
      </c>
      <c r="B7">
        <v>8.5327199110420793</v>
      </c>
      <c r="C7">
        <v>-1.891046198780316</v>
      </c>
      <c r="D7">
        <v>4.794154220668986</v>
      </c>
      <c r="E7">
        <v>-2.1226615187650282</v>
      </c>
      <c r="F7">
        <v>7.3076366147250837</v>
      </c>
      <c r="G7">
        <v>-9.2479110163119458</v>
      </c>
      <c r="H7">
        <v>0.63318258166674468</v>
      </c>
      <c r="I7">
        <v>-1.3643547432146761</v>
      </c>
      <c r="J7">
        <v>-7.4020237557014639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C8"/>
  <sheetViews>
    <sheetView topLeftCell="C1" zoomScale="190" zoomScaleNormal="190" workbookViewId="0">
      <selection activeCell="C3" sqref="C3:C8"/>
    </sheetView>
  </sheetViews>
  <sheetFormatPr defaultRowHeight="15" x14ac:dyDescent="0.25"/>
  <cols>
    <col min="2" max="2" width="15.42578125" bestFit="1" customWidth="1"/>
    <col min="3" max="3" width="20.7109375" bestFit="1" customWidth="1"/>
  </cols>
  <sheetData>
    <row r="1" spans="1:3" x14ac:dyDescent="0.25">
      <c r="A1" t="s">
        <v>11</v>
      </c>
    </row>
    <row r="2" spans="1:3" x14ac:dyDescent="0.25">
      <c r="A2" t="s">
        <v>12</v>
      </c>
      <c r="B2" t="s">
        <v>13</v>
      </c>
      <c r="C2" t="s">
        <v>14</v>
      </c>
    </row>
    <row r="3" spans="1:3" x14ac:dyDescent="0.25">
      <c r="A3" t="s">
        <v>15</v>
      </c>
      <c r="B3">
        <f t="array" ref="B3:B8">MMULT('Matrix (((R)^t.(R))^(-1)).(R)^t'!$A$2:$J$7,'Tabela Entrada-Saída'!$G$2:$G$11)</f>
        <v>-38937.833078271113</v>
      </c>
      <c r="C3" t="e">
        <f>EXP(((-1)/(2*'Cálculos Diversos'!$B$5))*(SQRT(SUMXMY2(Formulário!$B$1:$B$5,'Coordenadas dos Polos'!$G$2:$K$2)))^2)</f>
        <v>#DIV/0!</v>
      </c>
    </row>
    <row r="4" spans="1:3" x14ac:dyDescent="0.25">
      <c r="A4" t="s">
        <v>16</v>
      </c>
      <c r="B4">
        <v>6861.9713904510136</v>
      </c>
      <c r="C4" t="e">
        <f>EXP(((-1)/(2*'Cálculos Diversos'!$B$5))*(SQRT(SUMXMY2(Formulário!$B$1:$B$5,'Coordenadas dos Polos'!$L$2:$P$2)))^2)</f>
        <v>#DIV/0!</v>
      </c>
    </row>
    <row r="5" spans="1:3" x14ac:dyDescent="0.25">
      <c r="A5" t="s">
        <v>23</v>
      </c>
      <c r="B5">
        <v>3590.432457155669</v>
      </c>
      <c r="C5" t="e">
        <f>EXP(((-1)/(2*'Cálculos Diversos'!$B$5))*(SQRT(SUMXMY2(Formulário!$B$1:$B$5,'Coordenadas dos Polos'!$Q$2:$U$2)))^2)</f>
        <v>#DIV/0!</v>
      </c>
    </row>
    <row r="6" spans="1:3" x14ac:dyDescent="0.25">
      <c r="A6" t="s">
        <v>24</v>
      </c>
      <c r="B6">
        <v>-565.4721599790505</v>
      </c>
      <c r="C6" t="e">
        <f>EXP(((-1)/(2*'Cálculos Diversos'!$B$5))*(SQRT(SUMXMY2(Formulário!$B$1:$B$5,'Coordenadas dos Polos'!$V$2:$Z$2)))^2)</f>
        <v>#DIV/0!</v>
      </c>
    </row>
    <row r="7" spans="1:3" x14ac:dyDescent="0.25">
      <c r="A7" t="s">
        <v>40</v>
      </c>
      <c r="B7">
        <v>-2377.3390834512247</v>
      </c>
      <c r="C7" t="e">
        <f>EXP(((-1)/(2*'Cálculos Diversos'!$B$5))*(SQRT(SUMXMY2(Formulário!$B$1:$B$5,'Coordenadas dos Polos'!$AA$2:$AE$2)))^2)</f>
        <v>#DIV/0!</v>
      </c>
    </row>
    <row r="8" spans="1:3" x14ac:dyDescent="0.25">
      <c r="A8" t="s">
        <v>17</v>
      </c>
      <c r="B8">
        <v>-45.608656309681464</v>
      </c>
      <c r="C8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B11"/>
  <sheetViews>
    <sheetView tabSelected="1" zoomScale="137" zoomScaleNormal="137" workbookViewId="0">
      <selection activeCell="B1" sqref="B1"/>
    </sheetView>
  </sheetViews>
  <sheetFormatPr defaultColWidth="9.140625" defaultRowHeight="15" x14ac:dyDescent="0.25"/>
  <cols>
    <col min="1" max="1" width="25.85546875" bestFit="1" customWidth="1"/>
    <col min="2" max="2" width="25.7109375" customWidth="1"/>
    <col min="3" max="3" width="13.5703125" customWidth="1"/>
    <col min="4" max="4" width="228.5703125" customWidth="1"/>
  </cols>
  <sheetData>
    <row r="1" spans="1:2" ht="31.5" thickTop="1" thickBot="1" x14ac:dyDescent="0.3">
      <c r="A1" s="9" t="s">
        <v>33</v>
      </c>
      <c r="B1" s="2"/>
    </row>
    <row r="2" spans="1:2" ht="31.5" thickTop="1" thickBot="1" x14ac:dyDescent="0.3">
      <c r="A2" s="9" t="s">
        <v>34</v>
      </c>
      <c r="B2" s="2"/>
    </row>
    <row r="3" spans="1:2" ht="31.5" thickTop="1" thickBot="1" x14ac:dyDescent="0.3">
      <c r="A3" s="9" t="s">
        <v>35</v>
      </c>
      <c r="B3" s="2"/>
    </row>
    <row r="4" spans="1:2" ht="31.5" thickTop="1" thickBot="1" x14ac:dyDescent="0.3">
      <c r="A4" s="9" t="s">
        <v>36</v>
      </c>
      <c r="B4" s="2"/>
    </row>
    <row r="5" spans="1:2" ht="31.5" thickTop="1" thickBot="1" x14ac:dyDescent="0.3">
      <c r="A5" s="9" t="s">
        <v>37</v>
      </c>
      <c r="B5" s="2"/>
    </row>
    <row r="6" spans="1:2" ht="31.5" thickTop="1" thickBot="1" x14ac:dyDescent="0.3">
      <c r="A6" s="9" t="s">
        <v>38</v>
      </c>
      <c r="B6" s="6" t="str">
        <f>IFERROR(SUMPRODUCT(Solução!$B$3:$B$8,Solução!$C$3:$C$8),"")</f>
        <v/>
      </c>
    </row>
    <row r="7" spans="1:2" ht="16.5" thickTop="1" thickBot="1" x14ac:dyDescent="0.3">
      <c r="A7" s="1" t="s">
        <v>18</v>
      </c>
      <c r="B7" s="3">
        <f>'Coeficiente de Acerto'!$B$25</f>
        <v>0.89432192818696854</v>
      </c>
    </row>
    <row r="8" spans="1:2" ht="91.5" thickTop="1" thickBot="1" x14ac:dyDescent="0.3">
      <c r="A8" s="1" t="s">
        <v>19</v>
      </c>
      <c r="B8" s="4" t="s">
        <v>41</v>
      </c>
    </row>
    <row r="9" spans="1:2" ht="16.5" thickTop="1" thickBot="1" x14ac:dyDescent="0.3">
      <c r="A9" s="1" t="s">
        <v>14</v>
      </c>
      <c r="B9" s="5" t="s">
        <v>31</v>
      </c>
    </row>
    <row r="10" spans="1:2" ht="16.5" thickTop="1" thickBot="1" x14ac:dyDescent="0.3">
      <c r="A10" s="1" t="s">
        <v>20</v>
      </c>
      <c r="B10" s="5" t="s">
        <v>27</v>
      </c>
    </row>
    <row r="11" spans="1:2" ht="15.75" thickTop="1" x14ac:dyDescent="0.25"/>
  </sheetData>
  <sheetProtection algorithmName="SHA-512" hashValue="04os0I5MErMGw2EuZO8ehZuwJKrcP12INkxJkebn8kHU65ZQ44Vz0+rDn5uMZmvqWe0lcX1P8qFaNk3nvHCHyg==" saltValue="IXOO6XvkdSNsmTTjAKjw+Q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">
    <pageSetUpPr fitToPage="1"/>
  </sheetPr>
  <dimension ref="A1:H8"/>
  <sheetViews>
    <sheetView zoomScale="130" zoomScaleNormal="130" workbookViewId="0">
      <selection activeCell="A9" sqref="A9"/>
    </sheetView>
  </sheetViews>
  <sheetFormatPr defaultRowHeight="15" x14ac:dyDescent="0.25"/>
  <cols>
    <col min="1" max="1" width="4.28515625" bestFit="1" customWidth="1"/>
    <col min="2" max="6" width="6" bestFit="1" customWidth="1"/>
    <col min="7" max="11" width="4.85546875" bestFit="1" customWidth="1"/>
    <col min="12" max="16" width="6" bestFit="1" customWidth="1"/>
    <col min="17" max="17" width="4.85546875" bestFit="1" customWidth="1"/>
    <col min="18" max="18" width="4.28515625" bestFit="1" customWidth="1"/>
    <col min="19" max="20" width="4.85546875" bestFit="1" customWidth="1"/>
    <col min="21" max="21" width="4.28515625" bestFit="1" customWidth="1"/>
    <col min="22" max="23" width="6" bestFit="1" customWidth="1"/>
  </cols>
  <sheetData>
    <row r="1" spans="1:8" ht="135" x14ac:dyDescent="0.25">
      <c r="A1" s="7" t="s">
        <v>32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37</v>
      </c>
      <c r="G1" s="8" t="s">
        <v>42</v>
      </c>
      <c r="H1" s="8" t="s">
        <v>43</v>
      </c>
    </row>
    <row r="2" spans="1:8" x14ac:dyDescent="0.25">
      <c r="A2" s="7">
        <v>1</v>
      </c>
      <c r="B2" s="7">
        <v>19</v>
      </c>
      <c r="C2" s="7">
        <v>15</v>
      </c>
      <c r="D2" s="7">
        <v>45</v>
      </c>
      <c r="E2" s="7">
        <v>11</v>
      </c>
      <c r="F2" s="7">
        <v>10</v>
      </c>
      <c r="G2" s="7">
        <v>1080</v>
      </c>
      <c r="H2" s="7">
        <v>1088.3036215864547</v>
      </c>
    </row>
    <row r="3" spans="1:8" x14ac:dyDescent="0.25">
      <c r="A3" s="7">
        <v>2</v>
      </c>
      <c r="B3" s="7">
        <v>23</v>
      </c>
      <c r="C3" s="7">
        <v>24</v>
      </c>
      <c r="D3" s="7">
        <v>35</v>
      </c>
      <c r="E3" s="7">
        <v>13</v>
      </c>
      <c r="F3" s="7">
        <v>5</v>
      </c>
      <c r="G3" s="7">
        <v>1310</v>
      </c>
      <c r="H3" s="7">
        <v>1366.721258246803</v>
      </c>
    </row>
    <row r="4" spans="1:8" x14ac:dyDescent="0.25">
      <c r="A4" s="7">
        <v>3</v>
      </c>
      <c r="B4" s="7">
        <v>20</v>
      </c>
      <c r="C4" s="7">
        <v>16</v>
      </c>
      <c r="D4" s="7">
        <v>43</v>
      </c>
      <c r="E4" s="7">
        <v>15</v>
      </c>
      <c r="F4" s="7">
        <v>6</v>
      </c>
      <c r="G4" s="7">
        <v>1100</v>
      </c>
      <c r="H4" s="7">
        <v>1109.5110776595525</v>
      </c>
    </row>
    <row r="5" spans="1:8" x14ac:dyDescent="0.25">
      <c r="A5" s="7">
        <v>4</v>
      </c>
      <c r="B5" s="7">
        <v>24</v>
      </c>
      <c r="C5" s="7">
        <v>24</v>
      </c>
      <c r="D5" s="7">
        <v>37</v>
      </c>
      <c r="E5" s="7">
        <v>12</v>
      </c>
      <c r="F5" s="7">
        <v>3</v>
      </c>
      <c r="G5" s="7">
        <v>1600</v>
      </c>
      <c r="H5" s="7">
        <v>1553.108334415401</v>
      </c>
    </row>
    <row r="6" spans="1:8" x14ac:dyDescent="0.25">
      <c r="A6" s="7">
        <v>6</v>
      </c>
      <c r="B6" s="7">
        <v>18</v>
      </c>
      <c r="C6" s="7">
        <v>22</v>
      </c>
      <c r="D6" s="7">
        <v>45</v>
      </c>
      <c r="E6" s="7">
        <v>5</v>
      </c>
      <c r="F6" s="7">
        <v>10</v>
      </c>
      <c r="G6" s="7">
        <v>1120</v>
      </c>
      <c r="H6" s="7">
        <v>1106.1329190918691</v>
      </c>
    </row>
    <row r="7" spans="1:8" x14ac:dyDescent="0.25">
      <c r="A7" s="7">
        <v>8</v>
      </c>
      <c r="B7" s="7">
        <v>20</v>
      </c>
      <c r="C7" s="7">
        <v>22</v>
      </c>
      <c r="D7" s="7">
        <v>44</v>
      </c>
      <c r="E7" s="7">
        <v>10</v>
      </c>
      <c r="F7" s="7">
        <v>4</v>
      </c>
      <c r="G7" s="7">
        <v>1200</v>
      </c>
      <c r="H7" s="7">
        <v>1246.6783277345987</v>
      </c>
    </row>
    <row r="8" spans="1:8" x14ac:dyDescent="0.25">
      <c r="A8" s="7">
        <v>9</v>
      </c>
      <c r="B8" s="7">
        <v>19</v>
      </c>
      <c r="C8" s="7">
        <v>14</v>
      </c>
      <c r="D8" s="7">
        <v>43</v>
      </c>
      <c r="E8" s="7">
        <v>15</v>
      </c>
      <c r="F8" s="7">
        <v>9</v>
      </c>
      <c r="G8" s="7">
        <v>1000</v>
      </c>
      <c r="H8" s="7">
        <v>996.10156231331553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I25"/>
  <sheetViews>
    <sheetView topLeftCell="A67" zoomScale="130" zoomScaleNormal="130" workbookViewId="0">
      <selection activeCell="B25" sqref="B25"/>
    </sheetView>
  </sheetViews>
  <sheetFormatPr defaultRowHeight="15" x14ac:dyDescent="0.25"/>
  <cols>
    <col min="1" max="1" width="6.5703125" bestFit="1" customWidth="1"/>
    <col min="2" max="2" width="6.7109375" customWidth="1"/>
    <col min="3" max="14" width="5.28515625" bestFit="1" customWidth="1"/>
    <col min="15" max="15" width="4.28515625" bestFit="1" customWidth="1"/>
    <col min="16" max="16" width="7.7109375" bestFit="1" customWidth="1"/>
    <col min="18" max="18" width="111.42578125" customWidth="1"/>
    <col min="21" max="21" width="10.7109375" bestFit="1" customWidth="1"/>
    <col min="22" max="23" width="14.28515625" bestFit="1" customWidth="1"/>
    <col min="24" max="26" width="14.28515625" customWidth="1"/>
  </cols>
  <sheetData>
    <row r="1" spans="1:9" ht="105" x14ac:dyDescent="0.25">
      <c r="A1" s="7" t="s">
        <v>32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37</v>
      </c>
      <c r="G1" s="8" t="s">
        <v>42</v>
      </c>
      <c r="H1" s="8" t="s">
        <v>43</v>
      </c>
      <c r="I1" t="s">
        <v>28</v>
      </c>
    </row>
    <row r="2" spans="1:9" x14ac:dyDescent="0.25">
      <c r="A2" s="7">
        <v>1</v>
      </c>
      <c r="B2" s="7">
        <v>19</v>
      </c>
      <c r="C2" s="7">
        <v>15</v>
      </c>
      <c r="D2" s="7">
        <v>45</v>
      </c>
      <c r="E2" s="7">
        <v>11</v>
      </c>
      <c r="F2" s="7">
        <v>10</v>
      </c>
      <c r="G2" s="7">
        <v>1080</v>
      </c>
      <c r="H2">
        <v>1088.3036215864547</v>
      </c>
      <c r="I2" t="s">
        <v>30</v>
      </c>
    </row>
    <row r="3" spans="1:9" x14ac:dyDescent="0.25">
      <c r="A3" s="7">
        <v>2</v>
      </c>
      <c r="B3" s="7">
        <v>23</v>
      </c>
      <c r="C3" s="7">
        <v>24</v>
      </c>
      <c r="D3" s="7">
        <v>35</v>
      </c>
      <c r="E3" s="7">
        <v>13</v>
      </c>
      <c r="F3" s="7">
        <v>5</v>
      </c>
      <c r="G3" s="7">
        <v>1310</v>
      </c>
      <c r="H3">
        <v>1366.721258246803</v>
      </c>
      <c r="I3" t="s">
        <v>30</v>
      </c>
    </row>
    <row r="4" spans="1:9" x14ac:dyDescent="0.25">
      <c r="A4" s="7">
        <v>3</v>
      </c>
      <c r="B4" s="7">
        <v>20</v>
      </c>
      <c r="C4" s="7">
        <v>16</v>
      </c>
      <c r="D4" s="7">
        <v>43</v>
      </c>
      <c r="E4" s="7">
        <v>15</v>
      </c>
      <c r="F4" s="7">
        <v>6</v>
      </c>
      <c r="G4" s="7">
        <v>1100</v>
      </c>
      <c r="H4">
        <v>1109.5110776595525</v>
      </c>
      <c r="I4" t="s">
        <v>30</v>
      </c>
    </row>
    <row r="5" spans="1:9" x14ac:dyDescent="0.25">
      <c r="A5" s="7">
        <v>4</v>
      </c>
      <c r="B5" s="7">
        <v>24</v>
      </c>
      <c r="C5" s="7">
        <v>24</v>
      </c>
      <c r="D5" s="7">
        <v>37</v>
      </c>
      <c r="E5" s="7">
        <v>12</v>
      </c>
      <c r="F5" s="7">
        <v>3</v>
      </c>
      <c r="G5" s="7">
        <v>1600</v>
      </c>
      <c r="H5">
        <v>1553.108334415401</v>
      </c>
      <c r="I5" t="s">
        <v>30</v>
      </c>
    </row>
    <row r="6" spans="1:9" x14ac:dyDescent="0.25">
      <c r="A6" s="7">
        <v>5</v>
      </c>
      <c r="B6" s="7">
        <v>19</v>
      </c>
      <c r="C6" s="7">
        <v>23</v>
      </c>
      <c r="D6" s="7">
        <v>43</v>
      </c>
      <c r="E6" s="7">
        <v>11</v>
      </c>
      <c r="F6" s="7">
        <v>4</v>
      </c>
      <c r="G6" s="7">
        <v>1210</v>
      </c>
      <c r="H6">
        <v>1137.0682200912684</v>
      </c>
      <c r="I6" t="s">
        <v>29</v>
      </c>
    </row>
    <row r="7" spans="1:9" x14ac:dyDescent="0.25">
      <c r="A7" s="7">
        <v>6</v>
      </c>
      <c r="B7" s="7">
        <v>18</v>
      </c>
      <c r="C7" s="7">
        <v>22</v>
      </c>
      <c r="D7" s="7">
        <v>45</v>
      </c>
      <c r="E7" s="7">
        <v>5</v>
      </c>
      <c r="F7" s="7">
        <v>10</v>
      </c>
      <c r="G7" s="7">
        <v>1120</v>
      </c>
      <c r="H7">
        <v>1106.1329190918691</v>
      </c>
      <c r="I7" t="s">
        <v>30</v>
      </c>
    </row>
    <row r="8" spans="1:9" x14ac:dyDescent="0.25">
      <c r="A8" s="7">
        <v>7</v>
      </c>
      <c r="B8" s="7">
        <v>22</v>
      </c>
      <c r="C8" s="7">
        <v>25</v>
      </c>
      <c r="D8" s="7">
        <v>38</v>
      </c>
      <c r="E8" s="7">
        <v>10</v>
      </c>
      <c r="F8" s="7">
        <v>5</v>
      </c>
      <c r="G8" s="7">
        <v>1309</v>
      </c>
      <c r="H8">
        <v>1429.7845337186409</v>
      </c>
      <c r="I8" t="s">
        <v>29</v>
      </c>
    </row>
    <row r="9" spans="1:9" x14ac:dyDescent="0.25">
      <c r="A9" s="7">
        <v>8</v>
      </c>
      <c r="B9" s="7">
        <v>20</v>
      </c>
      <c r="C9" s="7">
        <v>22</v>
      </c>
      <c r="D9" s="7">
        <v>44</v>
      </c>
      <c r="E9" s="7">
        <v>10</v>
      </c>
      <c r="F9" s="7">
        <v>4</v>
      </c>
      <c r="G9" s="7">
        <v>1200</v>
      </c>
      <c r="H9">
        <v>1246.6783277345987</v>
      </c>
      <c r="I9" t="s">
        <v>30</v>
      </c>
    </row>
    <row r="10" spans="1:9" x14ac:dyDescent="0.25">
      <c r="A10" s="7">
        <v>9</v>
      </c>
      <c r="B10" s="7">
        <v>19</v>
      </c>
      <c r="C10" s="7">
        <v>14</v>
      </c>
      <c r="D10" s="7">
        <v>43</v>
      </c>
      <c r="E10" s="7">
        <v>15</v>
      </c>
      <c r="F10" s="7">
        <v>9</v>
      </c>
      <c r="G10" s="7">
        <v>1000</v>
      </c>
      <c r="H10">
        <v>996.10156231331553</v>
      </c>
      <c r="I10" t="s">
        <v>30</v>
      </c>
    </row>
    <row r="11" spans="1:9" x14ac:dyDescent="0.25">
      <c r="A11" s="7">
        <v>10</v>
      </c>
      <c r="B11" s="7">
        <v>23</v>
      </c>
      <c r="C11" s="7">
        <v>24</v>
      </c>
      <c r="D11" s="7">
        <v>36</v>
      </c>
      <c r="E11" s="7">
        <v>11</v>
      </c>
      <c r="F11" s="7">
        <v>6</v>
      </c>
      <c r="G11" s="7">
        <v>1570</v>
      </c>
      <c r="H11">
        <v>1465.5901451335135</v>
      </c>
      <c r="I11" t="s">
        <v>29</v>
      </c>
    </row>
    <row r="13" spans="1:9" x14ac:dyDescent="0.25">
      <c r="A13" t="s">
        <v>25</v>
      </c>
    </row>
    <row r="14" spans="1:9" x14ac:dyDescent="0.25">
      <c r="A14">
        <f t="array" ref="A14:A23">AVERAGE('Coeficiente de Acerto'!$G$2:$G$11)</f>
        <v>1249.9000000000001</v>
      </c>
    </row>
    <row r="15" spans="1:9" x14ac:dyDescent="0.25">
      <c r="A15">
        <v>1249.9000000000001</v>
      </c>
    </row>
    <row r="16" spans="1:9" x14ac:dyDescent="0.25">
      <c r="A16">
        <v>1249.9000000000001</v>
      </c>
    </row>
    <row r="17" spans="1:2" x14ac:dyDescent="0.25">
      <c r="A17">
        <v>1249.9000000000001</v>
      </c>
    </row>
    <row r="18" spans="1:2" x14ac:dyDescent="0.25">
      <c r="A18">
        <v>1249.9000000000001</v>
      </c>
    </row>
    <row r="19" spans="1:2" x14ac:dyDescent="0.25">
      <c r="A19">
        <v>1249.9000000000001</v>
      </c>
    </row>
    <row r="20" spans="1:2" x14ac:dyDescent="0.25">
      <c r="A20">
        <v>1249.9000000000001</v>
      </c>
    </row>
    <row r="21" spans="1:2" x14ac:dyDescent="0.25">
      <c r="A21">
        <v>1249.9000000000001</v>
      </c>
    </row>
    <row r="22" spans="1:2" x14ac:dyDescent="0.25">
      <c r="A22">
        <v>1249.9000000000001</v>
      </c>
    </row>
    <row r="23" spans="1:2" x14ac:dyDescent="0.25">
      <c r="A23">
        <v>1249.9000000000001</v>
      </c>
    </row>
    <row r="25" spans="1:2" x14ac:dyDescent="0.25">
      <c r="A25" t="s">
        <v>26</v>
      </c>
      <c r="B25">
        <f>1-SUMXMY2('Coeficiente de Acerto'!$H$2:$H$11,'Coeficiente de Acerto'!$G$2:$G$11)/SUMXMY2('Coeficiente de Acerto'!$G$2:$G$11,'Coeficiente de Acerto'!$A$14:$A$23)</f>
        <v>0.89432192818696854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"/>
  <dimension ref="A1:H4"/>
  <sheetViews>
    <sheetView topLeftCell="N1" workbookViewId="0">
      <selection activeCell="A5" sqref="A5"/>
    </sheetView>
  </sheetViews>
  <sheetFormatPr defaultRowHeight="15" x14ac:dyDescent="0.25"/>
  <sheetData>
    <row r="1" spans="1:8" ht="60" x14ac:dyDescent="0.25">
      <c r="A1" s="7" t="s">
        <v>32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37</v>
      </c>
      <c r="G1" s="8" t="s">
        <v>42</v>
      </c>
      <c r="H1" s="8" t="s">
        <v>43</v>
      </c>
    </row>
    <row r="2" spans="1:8" x14ac:dyDescent="0.25">
      <c r="A2" s="7">
        <v>5</v>
      </c>
      <c r="B2" s="7">
        <v>19</v>
      </c>
      <c r="C2" s="7">
        <v>23</v>
      </c>
      <c r="D2" s="7">
        <v>43</v>
      </c>
      <c r="E2" s="7">
        <v>11</v>
      </c>
      <c r="F2" s="7">
        <v>4</v>
      </c>
      <c r="G2" s="7">
        <v>1210</v>
      </c>
      <c r="H2" s="7">
        <v>1137.0682200912684</v>
      </c>
    </row>
    <row r="3" spans="1:8" x14ac:dyDescent="0.25">
      <c r="A3" s="7">
        <v>7</v>
      </c>
      <c r="B3" s="7">
        <v>22</v>
      </c>
      <c r="C3" s="7">
        <v>25</v>
      </c>
      <c r="D3" s="7">
        <v>38</v>
      </c>
      <c r="E3" s="7">
        <v>10</v>
      </c>
      <c r="F3" s="7">
        <v>5</v>
      </c>
      <c r="G3" s="7">
        <v>1309</v>
      </c>
      <c r="H3" s="7">
        <v>1429.7845337186409</v>
      </c>
    </row>
    <row r="4" spans="1:8" x14ac:dyDescent="0.25">
      <c r="A4" s="7">
        <v>10</v>
      </c>
      <c r="B4" s="7">
        <v>23</v>
      </c>
      <c r="C4" s="7">
        <v>24</v>
      </c>
      <c r="D4" s="7">
        <v>36</v>
      </c>
      <c r="E4" s="7">
        <v>11</v>
      </c>
      <c r="F4" s="7">
        <v>6</v>
      </c>
      <c r="G4" s="7">
        <v>1570</v>
      </c>
      <c r="H4" s="7">
        <v>1465.5901451335135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2018-06-30T01:28:34Z</dcterms:modified>
</cp:coreProperties>
</file>